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Ikwani\Documents\Portfolio\"/>
    </mc:Choice>
  </mc:AlternateContent>
  <xr:revisionPtr revIDLastSave="0" documentId="13_ncr:1_{5C06AA2C-4350-4501-A34A-7A961A3D50D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ADME" sheetId="1" r:id="rId1"/>
    <sheet name="Payroll_Current" sheetId="2" r:id="rId2"/>
    <sheet name="Pivot 1" sheetId="8" r:id="rId3"/>
    <sheet name="Pivot 2" sheetId="9" r:id="rId4"/>
    <sheet name="Pivot 3" sheetId="10" r:id="rId5"/>
    <sheet name="HR_Master" sheetId="3" r:id="rId6"/>
    <sheet name="Historical_Payroll" sheetId="4" r:id="rId7"/>
    <sheet name="Anomaly_Rules" sheetId="5" r:id="rId8"/>
    <sheet name="Data_Dictionary" sheetId="6" r:id="rId9"/>
    <sheet name="Excel_Summary" sheetId="7" r:id="rId10"/>
  </sheets>
  <calcPr calcId="191029"/>
  <pivotCaches>
    <pivotCache cacheId="4" r:id="rId11"/>
    <pivotCache cacheId="1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2" i="2"/>
</calcChain>
</file>

<file path=xl/sharedStrings.xml><?xml version="1.0" encoding="utf-8"?>
<sst xmlns="http://schemas.openxmlformats.org/spreadsheetml/2006/main" count="2832" uniqueCount="462">
  <si>
    <t>Payroll Portfolio Project Dataset</t>
  </si>
  <si>
    <t>Purpose</t>
  </si>
  <si>
    <t>Use this workbook to build a portfolio case study showing how payroll risk can be detected before payroll is finalized.</t>
  </si>
  <si>
    <t>Recommended tools</t>
  </si>
  <si>
    <t>Excel for validation logic, Tableau for exploratory visuals, Power BI for executive dashboarding.</t>
  </si>
  <si>
    <t>Main question</t>
  </si>
  <si>
    <t>Can we identify payroll errors, compliance risk, and dollars at risk before payroll is approved?</t>
  </si>
  <si>
    <t>Portfolio angle</t>
  </si>
  <si>
    <t>This is not just a dashboard. Present it as a business case: problem, data, audit rules, findings, impact, recommendation.</t>
  </si>
  <si>
    <t>How to use</t>
  </si>
  <si>
    <t>Start with Payroll_Current, validate against HR_Master and Historical_Payroll, then create dashboards in Tableau and Power BI.</t>
  </si>
  <si>
    <t>Important note</t>
  </si>
  <si>
    <t>This is synthetic data created for portfolio use. Do not present it as employer data.</t>
  </si>
  <si>
    <t>Step</t>
  </si>
  <si>
    <t>What to do</t>
  </si>
  <si>
    <t>1</t>
  </si>
  <si>
    <t>Open Payroll_Current in Excel and filter Payroll_Risk_Flag = Review.</t>
  </si>
  <si>
    <t>2</t>
  </si>
  <si>
    <t>Create a pivot table: Risk_Type by Department, sum Dollars_At_Risk.</t>
  </si>
  <si>
    <t>3</t>
  </si>
  <si>
    <t>In Tableau, connect to this workbook and use Payroll_Current as the main table.</t>
  </si>
  <si>
    <t>4</t>
  </si>
  <si>
    <t>Build views: dollars at risk by risk type, exceptions by department, employee detail table, state risk map.</t>
  </si>
  <si>
    <t>5</t>
  </si>
  <si>
    <t>In Power BI, import Payroll_Current, HR_Master, and Historical_Payroll. Relate Employee_ID across tables.</t>
  </si>
  <si>
    <t>6</t>
  </si>
  <si>
    <t>Create DAX measures for Total Payroll, Records Flagged, Dollars at Risk, and Risk Rate.</t>
  </si>
  <si>
    <t>7</t>
  </si>
  <si>
    <t>Write the case study around business impact: reduced review time, better exception prioritization, stronger compliance control.</t>
  </si>
  <si>
    <t>Pay_Period</t>
  </si>
  <si>
    <t>Employee_ID</t>
  </si>
  <si>
    <t>Employee_Name</t>
  </si>
  <si>
    <t>Department</t>
  </si>
  <si>
    <t>Role</t>
  </si>
  <si>
    <t>Work_State</t>
  </si>
  <si>
    <t>HR_Status</t>
  </si>
  <si>
    <t>Regular_Hours</t>
  </si>
  <si>
    <t>Overtime_Hours</t>
  </si>
  <si>
    <t>Hourly_Rate</t>
  </si>
  <si>
    <t>Bonus</t>
  </si>
  <si>
    <t>Gross_Pay</t>
  </si>
  <si>
    <t>Taxes</t>
  </si>
  <si>
    <t>Deductions</t>
  </si>
  <si>
    <t>Net_Pay</t>
  </si>
  <si>
    <t>Expected_Deductions</t>
  </si>
  <si>
    <t>Prior_Avg_Gross</t>
  </si>
  <si>
    <t>Payroll_Risk_Flag</t>
  </si>
  <si>
    <t>Risk_Type</t>
  </si>
  <si>
    <t>Dollars_At_Risk</t>
  </si>
  <si>
    <t>Review_Notes</t>
  </si>
  <si>
    <t>E1001</t>
  </si>
  <si>
    <t>Nora Lewis</t>
  </si>
  <si>
    <t>Operations</t>
  </si>
  <si>
    <t>Operations Coordinator</t>
  </si>
  <si>
    <t>CA</t>
  </si>
  <si>
    <t>Active</t>
  </si>
  <si>
    <t>Review</t>
  </si>
  <si>
    <t>Potential state nexus</t>
  </si>
  <si>
    <t>Needs payroll review before approval</t>
  </si>
  <si>
    <t>E1002</t>
  </si>
  <si>
    <t>Omar Lee</t>
  </si>
  <si>
    <t>Process Analyst</t>
  </si>
  <si>
    <t>GA</t>
  </si>
  <si>
    <t>E1003</t>
  </si>
  <si>
    <t>Jayden Miller</t>
  </si>
  <si>
    <t>Finance</t>
  </si>
  <si>
    <t>Accounting Specialist</t>
  </si>
  <si>
    <t>FL</t>
  </si>
  <si>
    <t>Terminated</t>
  </si>
  <si>
    <t>Terminated employee paid; Potential state nexus</t>
  </si>
  <si>
    <t>E1004</t>
  </si>
  <si>
    <t>Sade Anderson</t>
  </si>
  <si>
    <t>Payroll Analyst</t>
  </si>
  <si>
    <t>E1005</t>
  </si>
  <si>
    <t>Quincy Walker</t>
  </si>
  <si>
    <t>E1006</t>
  </si>
  <si>
    <t>Logan Wilson</t>
  </si>
  <si>
    <t>PA</t>
  </si>
  <si>
    <t>E1007</t>
  </si>
  <si>
    <t>Tobi Wilson</t>
  </si>
  <si>
    <t>Customer Support</t>
  </si>
  <si>
    <t>Support Lead</t>
  </si>
  <si>
    <t>E1008</t>
  </si>
  <si>
    <t>Kemi Thomas</t>
  </si>
  <si>
    <t>NY</t>
  </si>
  <si>
    <t>Pay spike/drop</t>
  </si>
  <si>
    <t>E1009</t>
  </si>
  <si>
    <t>Mia Lewis</t>
  </si>
  <si>
    <t>Support Rep</t>
  </si>
  <si>
    <t>E1010</t>
  </si>
  <si>
    <t>Omar Sanchez</t>
  </si>
  <si>
    <t>IT</t>
  </si>
  <si>
    <t>Systems Analyst</t>
  </si>
  <si>
    <t>Overtime threshold; Pay spike/drop; Potential state nexus</t>
  </si>
  <si>
    <t>E1011</t>
  </si>
  <si>
    <t>Esther Martinez</t>
  </si>
  <si>
    <t>E1012</t>
  </si>
  <si>
    <t>Ife Davis</t>
  </si>
  <si>
    <t>E1013</t>
  </si>
  <si>
    <t>Omar Williams</t>
  </si>
  <si>
    <t>Sales</t>
  </si>
  <si>
    <t>Sales Manager</t>
  </si>
  <si>
    <t>NH</t>
  </si>
  <si>
    <t>Clear</t>
  </si>
  <si>
    <t>None</t>
  </si>
  <si>
    <t>No exception detected</t>
  </si>
  <si>
    <t>E1014</t>
  </si>
  <si>
    <t>Nora Moore</t>
  </si>
  <si>
    <t>Marketing</t>
  </si>
  <si>
    <t>Marketing Coordinator</t>
  </si>
  <si>
    <t>MA</t>
  </si>
  <si>
    <t>E1015</t>
  </si>
  <si>
    <t>Amina Sanchez</t>
  </si>
  <si>
    <t>Ops Manager</t>
  </si>
  <si>
    <t>Missing deduction; Potential state nexus</t>
  </si>
  <si>
    <t>E1016</t>
  </si>
  <si>
    <t>Daniel Garcia</t>
  </si>
  <si>
    <t>RI</t>
  </si>
  <si>
    <t>E1017</t>
  </si>
  <si>
    <t>Lina Wilson</t>
  </si>
  <si>
    <t>E1018</t>
  </si>
  <si>
    <t>Aria Anderson</t>
  </si>
  <si>
    <t>IL</t>
  </si>
  <si>
    <t>E1019</t>
  </si>
  <si>
    <t>Priya King</t>
  </si>
  <si>
    <t>E1020</t>
  </si>
  <si>
    <t>Caleb Martin</t>
  </si>
  <si>
    <t>E1021</t>
  </si>
  <si>
    <t>Amara Wilson</t>
  </si>
  <si>
    <t>HR</t>
  </si>
  <si>
    <t>Recruiter</t>
  </si>
  <si>
    <t>E1022</t>
  </si>
  <si>
    <t>Priya Davis</t>
  </si>
  <si>
    <t>Compliance</t>
  </si>
  <si>
    <t>Audit Coordinator</t>
  </si>
  <si>
    <t>E1023</t>
  </si>
  <si>
    <t>Amina Smith</t>
  </si>
  <si>
    <t>E1024</t>
  </si>
  <si>
    <t>Priya Miller</t>
  </si>
  <si>
    <t>E1025</t>
  </si>
  <si>
    <t>Priya Walker</t>
  </si>
  <si>
    <t>Gross-to-net mismatch</t>
  </si>
  <si>
    <t>E1026</t>
  </si>
  <si>
    <t>Wendy Moore</t>
  </si>
  <si>
    <t>Content Specialist</t>
  </si>
  <si>
    <t>E1027</t>
  </si>
  <si>
    <t>Grace Davis</t>
  </si>
  <si>
    <t>Risk Specialist</t>
  </si>
  <si>
    <t>E1028</t>
  </si>
  <si>
    <t>Rosa Jackson</t>
  </si>
  <si>
    <t>E1029</t>
  </si>
  <si>
    <t>E1030</t>
  </si>
  <si>
    <t>David Garcia</t>
  </si>
  <si>
    <t>E1031</t>
  </si>
  <si>
    <t>Leo Lewis</t>
  </si>
  <si>
    <t>Compliance Analyst</t>
  </si>
  <si>
    <t>E1032</t>
  </si>
  <si>
    <t>Ruby Perez</t>
  </si>
  <si>
    <t>E1033</t>
  </si>
  <si>
    <t>Ava Wright</t>
  </si>
  <si>
    <t>E1034</t>
  </si>
  <si>
    <t>Esther Sanchez</t>
  </si>
  <si>
    <t>HR Generalist</t>
  </si>
  <si>
    <t>E1035</t>
  </si>
  <si>
    <t>Chika White</t>
  </si>
  <si>
    <t>IT Support</t>
  </si>
  <si>
    <t>E1036</t>
  </si>
  <si>
    <t>Nadia Sanchez</t>
  </si>
  <si>
    <t>E1037</t>
  </si>
  <si>
    <t>Noah Anderson</t>
  </si>
  <si>
    <t>E1038</t>
  </si>
  <si>
    <t>Nadia Lee</t>
  </si>
  <si>
    <t>E1039</t>
  </si>
  <si>
    <t>Kemi Jackson</t>
  </si>
  <si>
    <t>Account Executive</t>
  </si>
  <si>
    <t>E1040</t>
  </si>
  <si>
    <t>Ife Miller</t>
  </si>
  <si>
    <t>E1041</t>
  </si>
  <si>
    <t>Nadia Clark</t>
  </si>
  <si>
    <t>E1042</t>
  </si>
  <si>
    <t>Fatima Harris</t>
  </si>
  <si>
    <t>E1043</t>
  </si>
  <si>
    <t>Kemi Lewis</t>
  </si>
  <si>
    <t>E1044</t>
  </si>
  <si>
    <t>Leo King</t>
  </si>
  <si>
    <t>Growth Analyst</t>
  </si>
  <si>
    <t>E1045</t>
  </si>
  <si>
    <t>Daniel Williams</t>
  </si>
  <si>
    <t>Benefits Specialist</t>
  </si>
  <si>
    <t>Overtime threshold; Pay spike/drop</t>
  </si>
  <si>
    <t>E1046</t>
  </si>
  <si>
    <t>Caleb Brown</t>
  </si>
  <si>
    <t>Financial Analyst</t>
  </si>
  <si>
    <t>E1047</t>
  </si>
  <si>
    <t>Maya Okafor</t>
  </si>
  <si>
    <t>E1048</t>
  </si>
  <si>
    <t>Leo Brown</t>
  </si>
  <si>
    <t>E1049</t>
  </si>
  <si>
    <t>Tanya Young</t>
  </si>
  <si>
    <t>E1050</t>
  </si>
  <si>
    <t>Esther Robinson</t>
  </si>
  <si>
    <t>E1051</t>
  </si>
  <si>
    <t>Henry King</t>
  </si>
  <si>
    <t>Sales Associate</t>
  </si>
  <si>
    <t>E1052</t>
  </si>
  <si>
    <t>Daniel Thomas</t>
  </si>
  <si>
    <t>E1053</t>
  </si>
  <si>
    <t>Michael Miller</t>
  </si>
  <si>
    <t>Customer Success Associate</t>
  </si>
  <si>
    <t>E1054</t>
  </si>
  <si>
    <t>Yara Moore</t>
  </si>
  <si>
    <t>E1055</t>
  </si>
  <si>
    <t>Ava Wilson</t>
  </si>
  <si>
    <t>E1056</t>
  </si>
  <si>
    <t>Maya Sanchez</t>
  </si>
  <si>
    <t>E1057</t>
  </si>
  <si>
    <t>Amina Wilson</t>
  </si>
  <si>
    <t>TX</t>
  </si>
  <si>
    <t>E1058</t>
  </si>
  <si>
    <t>Noah Jackson</t>
  </si>
  <si>
    <t>E1059</t>
  </si>
  <si>
    <t>Caleb Smith</t>
  </si>
  <si>
    <t>E1060</t>
  </si>
  <si>
    <t>Omar Walker</t>
  </si>
  <si>
    <t>Terminated employee paid</t>
  </si>
  <si>
    <t>E1061</t>
  </si>
  <si>
    <t>Tobi Smith</t>
  </si>
  <si>
    <t>E1062</t>
  </si>
  <si>
    <t>Priya Williams</t>
  </si>
  <si>
    <t>E1063</t>
  </si>
  <si>
    <t>Noah Johnson</t>
  </si>
  <si>
    <t>E1064</t>
  </si>
  <si>
    <t>Logan White</t>
  </si>
  <si>
    <t>E1065</t>
  </si>
  <si>
    <t>E1066</t>
  </si>
  <si>
    <t>Lina Davis</t>
  </si>
  <si>
    <t>E1067</t>
  </si>
  <si>
    <t>Uche King</t>
  </si>
  <si>
    <t>E1068</t>
  </si>
  <si>
    <t>Amara Martinez</t>
  </si>
  <si>
    <t>E1069</t>
  </si>
  <si>
    <t>David Martinez</t>
  </si>
  <si>
    <t>E1070</t>
  </si>
  <si>
    <t>Amina Thomas</t>
  </si>
  <si>
    <t>E1071</t>
  </si>
  <si>
    <t>Ethan Davis</t>
  </si>
  <si>
    <t>E1072</t>
  </si>
  <si>
    <t>Kai Garcia</t>
  </si>
  <si>
    <t>E1073</t>
  </si>
  <si>
    <t>Ella Sanchez</t>
  </si>
  <si>
    <t>E1074</t>
  </si>
  <si>
    <t>Quincy Taylor</t>
  </si>
  <si>
    <t>E1075</t>
  </si>
  <si>
    <t>Sade Young</t>
  </si>
  <si>
    <t>E1076</t>
  </si>
  <si>
    <t>David Thomas</t>
  </si>
  <si>
    <t>E1077</t>
  </si>
  <si>
    <t>Brian White</t>
  </si>
  <si>
    <t>Data Engineer</t>
  </si>
  <si>
    <t>E1078</t>
  </si>
  <si>
    <t>Noah Clark</t>
  </si>
  <si>
    <t>E1079</t>
  </si>
  <si>
    <t>Jayden Okafor</t>
  </si>
  <si>
    <t>E1080</t>
  </si>
  <si>
    <t>Leo Young</t>
  </si>
  <si>
    <t>E1081</t>
  </si>
  <si>
    <t>Mia Moore</t>
  </si>
  <si>
    <t>E1082</t>
  </si>
  <si>
    <t>Grace Moore</t>
  </si>
  <si>
    <t>E1083</t>
  </si>
  <si>
    <t>Ivy Miller</t>
  </si>
  <si>
    <t>E1084</t>
  </si>
  <si>
    <t>Rosa King</t>
  </si>
  <si>
    <t>E1085</t>
  </si>
  <si>
    <t>Victor Okafor</t>
  </si>
  <si>
    <t>Pay spike/drop; Potential state nexus</t>
  </si>
  <si>
    <t>E1086</t>
  </si>
  <si>
    <t>Victor Miller</t>
  </si>
  <si>
    <t>E1087</t>
  </si>
  <si>
    <t>Kai Moore</t>
  </si>
  <si>
    <t>E1088</t>
  </si>
  <si>
    <t>Fatima Wilson</t>
  </si>
  <si>
    <t>E1089</t>
  </si>
  <si>
    <t>Logan Lee</t>
  </si>
  <si>
    <t>E1090</t>
  </si>
  <si>
    <t>Rosa Wilson</t>
  </si>
  <si>
    <t>E1091</t>
  </si>
  <si>
    <t>Sade Clark</t>
  </si>
  <si>
    <t>E1092</t>
  </si>
  <si>
    <t>Sade Lee</t>
  </si>
  <si>
    <t>E1093</t>
  </si>
  <si>
    <t>Tanya Okafor</t>
  </si>
  <si>
    <t>E1094</t>
  </si>
  <si>
    <t>Lina Allen</t>
  </si>
  <si>
    <t>E1095</t>
  </si>
  <si>
    <t>Sophia Anderson</t>
  </si>
  <si>
    <t>E1096</t>
  </si>
  <si>
    <t>Ethan Smith</t>
  </si>
  <si>
    <t>E1097</t>
  </si>
  <si>
    <t>Henry Perez</t>
  </si>
  <si>
    <t>E1098</t>
  </si>
  <si>
    <t>Sophia Wilson</t>
  </si>
  <si>
    <t>E1099</t>
  </si>
  <si>
    <t>Sade Martinez</t>
  </si>
  <si>
    <t>E1100</t>
  </si>
  <si>
    <t>Esther Garcia</t>
  </si>
  <si>
    <t>E1101</t>
  </si>
  <si>
    <t>Samuel Clark</t>
  </si>
  <si>
    <t>E1102</t>
  </si>
  <si>
    <t>Caleb Walker</t>
  </si>
  <si>
    <t>E1103</t>
  </si>
  <si>
    <t>Rosa Young</t>
  </si>
  <si>
    <t>E1104</t>
  </si>
  <si>
    <t>Samuel Jackson</t>
  </si>
  <si>
    <t>E1105</t>
  </si>
  <si>
    <t>Ethan Jackson</t>
  </si>
  <si>
    <t>Gross-to-net mismatch; Potential state nexus</t>
  </si>
  <si>
    <t>E1106</t>
  </si>
  <si>
    <t>Brian Smith</t>
  </si>
  <si>
    <t>E1107</t>
  </si>
  <si>
    <t>Sade Robinson</t>
  </si>
  <si>
    <t>E1108</t>
  </si>
  <si>
    <t>Daniel Harris</t>
  </si>
  <si>
    <t>E1109</t>
  </si>
  <si>
    <t>E1110</t>
  </si>
  <si>
    <t>Sade Perez</t>
  </si>
  <si>
    <t>E1111</t>
  </si>
  <si>
    <t>Tobi Taylor</t>
  </si>
  <si>
    <t>E1112</t>
  </si>
  <si>
    <t>Lucas Thomas</t>
  </si>
  <si>
    <t>E1113</t>
  </si>
  <si>
    <t>E1114</t>
  </si>
  <si>
    <t>Logan Moore</t>
  </si>
  <si>
    <t>E1115</t>
  </si>
  <si>
    <t>Ava Clark</t>
  </si>
  <si>
    <t>E1116</t>
  </si>
  <si>
    <t>Zainab Martinez</t>
  </si>
  <si>
    <t>E1117</t>
  </si>
  <si>
    <t>Samuel Lewis</t>
  </si>
  <si>
    <t>E1118</t>
  </si>
  <si>
    <t>Wendy Anderson</t>
  </si>
  <si>
    <t>E1119</t>
  </si>
  <si>
    <t>Tobi Moore</t>
  </si>
  <si>
    <t>E1120</t>
  </si>
  <si>
    <t>Ife Lee</t>
  </si>
  <si>
    <t>E1121</t>
  </si>
  <si>
    <t>Kai Williams</t>
  </si>
  <si>
    <t>Leave</t>
  </si>
  <si>
    <t>E1122</t>
  </si>
  <si>
    <t>Mateo Clark</t>
  </si>
  <si>
    <t>E1123</t>
  </si>
  <si>
    <t>Lina Clark</t>
  </si>
  <si>
    <t>E1124</t>
  </si>
  <si>
    <t>Omar Lewis</t>
  </si>
  <si>
    <t>E1125</t>
  </si>
  <si>
    <t>Brian Johnson</t>
  </si>
  <si>
    <t>Duplicate row intentionally added for audit testing</t>
  </si>
  <si>
    <t>Home_State</t>
  </si>
  <si>
    <t>Hire_Date</t>
  </si>
  <si>
    <t>Termination_Date</t>
  </si>
  <si>
    <t>Annual_Salary</t>
  </si>
  <si>
    <t>Deduction_Plan</t>
  </si>
  <si>
    <t>Manager</t>
  </si>
  <si>
    <t>Standard</t>
  </si>
  <si>
    <t>A. Bello</t>
  </si>
  <si>
    <t>M. Carter</t>
  </si>
  <si>
    <t>T. Ramirez</t>
  </si>
  <si>
    <t>Premium</t>
  </si>
  <si>
    <t>J. Osei</t>
  </si>
  <si>
    <t>Waived</t>
  </si>
  <si>
    <t>S. Nguyen</t>
  </si>
  <si>
    <t>Rule_ID</t>
  </si>
  <si>
    <t>Rule_Name</t>
  </si>
  <si>
    <t>Business_Question</t>
  </si>
  <si>
    <t>Logic</t>
  </si>
  <si>
    <t>Recommended Visual</t>
  </si>
  <si>
    <t>R01</t>
  </si>
  <si>
    <t>Are inactive/terminated employees still receiving pay?</t>
  </si>
  <si>
    <t>HR_Status = Terminated and Gross_Pay &gt; 0</t>
  </si>
  <si>
    <t>Risk table by employee</t>
  </si>
  <si>
    <t>R02</t>
  </si>
  <si>
    <t>Overtime threshold</t>
  </si>
  <si>
    <t>Who has unusually high overtime?</t>
  </si>
  <si>
    <t>Overtime_Hours &gt; 20</t>
  </si>
  <si>
    <t>Bar chart by department</t>
  </si>
  <si>
    <t>R03</t>
  </si>
  <si>
    <t>Who has large pay variance vs prior periods?</t>
  </si>
  <si>
    <t>ABS(Gross_Pay - Prior_Avg_Gross) &gt; 1000</t>
  </si>
  <si>
    <t>Scatterplot: prior avg vs current gross</t>
  </si>
  <si>
    <t>R04</t>
  </si>
  <si>
    <t>Missing deduction</t>
  </si>
  <si>
    <t>Are required deductions missing?</t>
  </si>
  <si>
    <t>Deductions &lt; Expected_Deductions</t>
  </si>
  <si>
    <t>KPI: missing deduction exposure</t>
  </si>
  <si>
    <t>R05</t>
  </si>
  <si>
    <t>Does net pay reconcile correctly?</t>
  </si>
  <si>
    <t>Gross_Pay - Taxes - Deductions &lt;&gt; Net_Pay</t>
  </si>
  <si>
    <t>Exception table</t>
  </si>
  <si>
    <t>R06</t>
  </si>
  <si>
    <t>Are employees paid in states where the company may not be registered?</t>
  </si>
  <si>
    <t>Work_State not in MA, NY, RI, NH</t>
  </si>
  <si>
    <t>Map or state bar chart</t>
  </si>
  <si>
    <t>R07</t>
  </si>
  <si>
    <t>Duplicate payment</t>
  </si>
  <si>
    <t>Are duplicate employee payments present in the same period?</t>
  </si>
  <si>
    <t>Duplicate Employee_ID within Pay_Period</t>
  </si>
  <si>
    <t>Duplicate employee list</t>
  </si>
  <si>
    <t>Sheet</t>
  </si>
  <si>
    <t>Column</t>
  </si>
  <si>
    <t>Definition</t>
  </si>
  <si>
    <t>Payroll_Current</t>
  </si>
  <si>
    <t>Review means one or more audit rules were triggered.</t>
  </si>
  <si>
    <t>Semicolon-separated list of detected issues.</t>
  </si>
  <si>
    <t>Gross pay amount tied to flagged records.</t>
  </si>
  <si>
    <t>Average gross pay from previous payroll periods.</t>
  </si>
  <si>
    <t>HR_Master</t>
  </si>
  <si>
    <t>Source-of-truth employment status.</t>
  </si>
  <si>
    <t>Historical_Payroll</t>
  </si>
  <si>
    <t>Prior pay period gross earnings used for variance analysis.</t>
  </si>
  <si>
    <t>Metric</t>
  </si>
  <si>
    <t>Value</t>
  </si>
  <si>
    <t>How to explain it in your project</t>
  </si>
  <si>
    <t>Total Current Payroll</t>
  </si>
  <si>
    <t>Total gross payroll for the current pay period.</t>
  </si>
  <si>
    <t>Records Needing Review</t>
  </si>
  <si>
    <t>Number of payroll rows flagged by at least one audit rule.</t>
  </si>
  <si>
    <t>Total Dollars At Risk</t>
  </si>
  <si>
    <t>Gross payroll tied to exception records; use this as exposure, not confirmed loss.</t>
  </si>
  <si>
    <t>Percent Records Flagged</t>
  </si>
  <si>
    <t>Share of payroll records requiring manual review.</t>
  </si>
  <si>
    <t>Terminated Employees Paid</t>
  </si>
  <si>
    <t>Potential ghost/zombie employee issue.</t>
  </si>
  <si>
    <t>Overtime Exceptions</t>
  </si>
  <si>
    <t>Employees above the overtime review threshold.</t>
  </si>
  <si>
    <t>Pay Spike/Drop Exceptions</t>
  </si>
  <si>
    <t>Gross pay variance greater than $1,000 vs historical average.</t>
  </si>
  <si>
    <t>Missing Deduction Exceptions</t>
  </si>
  <si>
    <t>Required deduction appears lower than expected.</t>
  </si>
  <si>
    <t>Gross-to-Net Exceptions</t>
  </si>
  <si>
    <t>Net pay does not reconcile to gross minus taxes and deductions.</t>
  </si>
  <si>
    <t>State Nexus Exceptions</t>
  </si>
  <si>
    <t>Employee work state outside the company's registered payroll states.</t>
  </si>
  <si>
    <t>Duplicate Employee Records</t>
  </si>
  <si>
    <t>Duplicate employee payment record in same pay period.</t>
  </si>
  <si>
    <t>Row Labels</t>
  </si>
  <si>
    <t>(blank)</t>
  </si>
  <si>
    <t>Grand Total</t>
  </si>
  <si>
    <t>(All)</t>
  </si>
  <si>
    <t xml:space="preserve">Total $ at Risk </t>
  </si>
  <si>
    <t>% of Total Risk</t>
  </si>
  <si>
    <t>Pay_Spike_Flag</t>
  </si>
  <si>
    <t>Overtime_Flag</t>
  </si>
  <si>
    <t>Termination_Flag</t>
  </si>
  <si>
    <t>Gross_Net_Check</t>
  </si>
  <si>
    <t>Risk_Level</t>
  </si>
  <si>
    <t>Risk_Score</t>
  </si>
  <si>
    <t>Risk Type</t>
  </si>
  <si>
    <t>Cases</t>
  </si>
  <si>
    <t>High</t>
  </si>
  <si>
    <t>Low</t>
  </si>
  <si>
    <t>Medium</t>
  </si>
  <si>
    <t>Total $ at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</si>
</sst>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">
    <font>
      <sz val="11"/>
      <name val="Carlito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" fillId="3" borderId="0" xfId="0" applyFont="1" applyFill="1"/>
    <xf numFmtId="164" fontId="1" fillId="3" borderId="0" xfId="0" applyNumberFormat="1" applyFont="1" applyFill="1"/>
    <xf numFmtId="0" fontId="2" fillId="3" borderId="0" xfId="0" applyFont="1" applyFill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31"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wani, Esther (EHS)" refreshedDate="46139.760747800923" createdVersion="8" refreshedVersion="8" minRefreshableVersion="3" recordCount="127" xr:uid="{9D1A4791-642D-4722-8076-DDADD5A5CD7A}">
  <cacheSource type="worksheet">
    <worksheetSource ref="A1:U1048576" sheet="Payroll_Current"/>
  </cacheSource>
  <cacheFields count="21">
    <cacheField name="Pay_Period" numFmtId="0">
      <sharedItems containsString="0" containsBlank="1" containsNumber="1" containsInteger="1" minValue="46087" maxValue="46087"/>
    </cacheField>
    <cacheField name="Employee_ID" numFmtId="0">
      <sharedItems containsBlank="1"/>
    </cacheField>
    <cacheField name="Employee_Name" numFmtId="0">
      <sharedItems containsBlank="1"/>
    </cacheField>
    <cacheField name="Department" numFmtId="0">
      <sharedItems containsBlank="1" count="9">
        <s v="Operations"/>
        <s v="Finance"/>
        <s v="Customer Support"/>
        <s v="IT"/>
        <s v="Sales"/>
        <s v="Marketing"/>
        <s v="HR"/>
        <s v="Compliance"/>
        <m/>
      </sharedItems>
    </cacheField>
    <cacheField name="Role" numFmtId="0">
      <sharedItems containsBlank="1"/>
    </cacheField>
    <cacheField name="Work_State" numFmtId="0">
      <sharedItems containsBlank="1"/>
    </cacheField>
    <cacheField name="HR_Status" numFmtId="0">
      <sharedItems containsBlank="1"/>
    </cacheField>
    <cacheField name="Regular_Hours" numFmtId="0">
      <sharedItems containsString="0" containsBlank="1" containsNumber="1" containsInteger="1" minValue="80" maxValue="80"/>
    </cacheField>
    <cacheField name="Overtime_Hours" numFmtId="0">
      <sharedItems containsString="0" containsBlank="1" containsNumber="1" containsInteger="1" minValue="0" maxValue="28"/>
    </cacheField>
    <cacheField name="Hourly_Rate" numFmtId="0">
      <sharedItems containsString="0" containsBlank="1" containsNumber="1" minValue="25.48" maxValue="62.5"/>
    </cacheField>
    <cacheField name="Bonus" numFmtId="0">
      <sharedItems containsString="0" containsBlank="1" containsNumber="1" containsInteger="1" minValue="0" maxValue="4000"/>
    </cacheField>
    <cacheField name="Gross_Pay" numFmtId="0">
      <sharedItems containsString="0" containsBlank="1" containsNumber="1" minValue="2038.46" maxValue="8307.69"/>
    </cacheField>
    <cacheField name="Taxes" numFmtId="0">
      <sharedItems containsString="0" containsBlank="1" containsNumber="1" minValue="448.46" maxValue="1827.69"/>
    </cacheField>
    <cacheField name="Deductions" numFmtId="0">
      <sharedItems containsString="0" containsBlank="1" containsNumber="1" containsInteger="1" minValue="0" maxValue="310"/>
    </cacheField>
    <cacheField name="Net_Pay" numFmtId="0">
      <sharedItems containsString="0" containsBlank="1" containsNumber="1" minValue="1280" maxValue="6170"/>
    </cacheField>
    <cacheField name="Expected_Deductions" numFmtId="0">
      <sharedItems containsString="0" containsBlank="1" containsNumber="1" containsInteger="1" minValue="0" maxValue="310"/>
    </cacheField>
    <cacheField name="Prior_Avg_Gross" numFmtId="0">
      <sharedItems containsString="0" containsBlank="1" containsNumber="1" minValue="2234.79" maxValue="5659.72"/>
    </cacheField>
    <cacheField name="Payroll_Risk_Flag" numFmtId="0">
      <sharedItems containsBlank="1"/>
    </cacheField>
    <cacheField name="Risk_Type" numFmtId="0">
      <sharedItems containsBlank="1" count="12">
        <s v="Potential state nexus"/>
        <s v="Terminated employee paid; Potential state nexus"/>
        <s v="Pay spike/drop"/>
        <s v="Overtime threshold; Pay spike/drop; Potential state nexus"/>
        <s v="None"/>
        <s v="Missing deduction; Potential state nexus"/>
        <s v="Gross-to-net mismatch"/>
        <s v="Overtime threshold; Pay spike/drop"/>
        <s v="Terminated employee paid"/>
        <s v="Pay spike/drop; Potential state nexus"/>
        <s v="Gross-to-net mismatch; Potential state nexus"/>
        <m/>
      </sharedItems>
    </cacheField>
    <cacheField name="Dollars_At_Risk" numFmtId="0">
      <sharedItems containsString="0" containsBlank="1" containsNumber="1" minValue="0" maxValue="8307.69"/>
    </cacheField>
    <cacheField name="Review_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wani, Esther (EHS)" refreshedDate="46139.802245486113" createdVersion="8" refreshedVersion="8" minRefreshableVersion="3" recordCount="127" xr:uid="{9933A08D-37CD-44C9-83B8-422227B336F9}">
  <cacheSource type="worksheet">
    <worksheetSource ref="A1:AA1048576" sheet="Payroll_Current"/>
  </cacheSource>
  <cacheFields count="27">
    <cacheField name="Pay_Period" numFmtId="0">
      <sharedItems containsString="0" containsBlank="1" containsNumber="1" containsInteger="1" minValue="46087" maxValue="46087"/>
    </cacheField>
    <cacheField name="Employee_ID" numFmtId="0">
      <sharedItems containsBlank="1"/>
    </cacheField>
    <cacheField name="Employee_Name" numFmtId="0">
      <sharedItems containsBlank="1"/>
    </cacheField>
    <cacheField name="Department" numFmtId="0">
      <sharedItems containsBlank="1" count="9">
        <s v="Operations"/>
        <s v="Finance"/>
        <s v="Customer Support"/>
        <s v="IT"/>
        <s v="Sales"/>
        <s v="Marketing"/>
        <s v="HR"/>
        <s v="Compliance"/>
        <m/>
      </sharedItems>
    </cacheField>
    <cacheField name="Role" numFmtId="0">
      <sharedItems containsBlank="1"/>
    </cacheField>
    <cacheField name="Work_State" numFmtId="0">
      <sharedItems containsBlank="1"/>
    </cacheField>
    <cacheField name="HR_Status" numFmtId="0">
      <sharedItems containsBlank="1"/>
    </cacheField>
    <cacheField name="Regular_Hours" numFmtId="0">
      <sharedItems containsString="0" containsBlank="1" containsNumber="1" containsInteger="1" minValue="80" maxValue="80"/>
    </cacheField>
    <cacheField name="Overtime_Hours" numFmtId="0">
      <sharedItems containsString="0" containsBlank="1" containsNumber="1" containsInteger="1" minValue="0" maxValue="28"/>
    </cacheField>
    <cacheField name="Hourly_Rate" numFmtId="0">
      <sharedItems containsString="0" containsBlank="1" containsNumber="1" minValue="25.48" maxValue="62.5"/>
    </cacheField>
    <cacheField name="Bonus" numFmtId="0">
      <sharedItems containsString="0" containsBlank="1" containsNumber="1" containsInteger="1" minValue="0" maxValue="4000"/>
    </cacheField>
    <cacheField name="Gross_Pay" numFmtId="0">
      <sharedItems containsString="0" containsBlank="1" containsNumber="1" minValue="2038.46" maxValue="8307.69"/>
    </cacheField>
    <cacheField name="Taxes" numFmtId="0">
      <sharedItems containsString="0" containsBlank="1" containsNumber="1" minValue="448.46" maxValue="1827.69"/>
    </cacheField>
    <cacheField name="Deductions" numFmtId="0">
      <sharedItems containsString="0" containsBlank="1" containsNumber="1" containsInteger="1" minValue="0" maxValue="310"/>
    </cacheField>
    <cacheField name="Net_Pay" numFmtId="0">
      <sharedItems containsString="0" containsBlank="1" containsNumber="1" minValue="1280" maxValue="6170"/>
    </cacheField>
    <cacheField name="Expected_Deductions" numFmtId="0">
      <sharedItems containsString="0" containsBlank="1" containsNumber="1" containsInteger="1" minValue="0" maxValue="310"/>
    </cacheField>
    <cacheField name="Prior_Avg_Gross" numFmtId="0">
      <sharedItems containsString="0" containsBlank="1" containsNumber="1" minValue="2234.79" maxValue="5659.72"/>
    </cacheField>
    <cacheField name="Payroll_Risk_Flag" numFmtId="0">
      <sharedItems containsBlank="1"/>
    </cacheField>
    <cacheField name="Risk_Type" numFmtId="0">
      <sharedItems containsBlank="1"/>
    </cacheField>
    <cacheField name="Dollars_At_Risk" numFmtId="0">
      <sharedItems containsString="0" containsBlank="1" containsNumber="1" minValue="0" maxValue="8307.69"/>
    </cacheField>
    <cacheField name="Review_Notes" numFmtId="0">
      <sharedItems containsBlank="1"/>
    </cacheField>
    <cacheField name="Pay_Spike_Flag" numFmtId="0">
      <sharedItems containsBlank="1"/>
    </cacheField>
    <cacheField name="Overtime_Flag" numFmtId="0">
      <sharedItems containsBlank="1"/>
    </cacheField>
    <cacheField name="Termination_Flag" numFmtId="0">
      <sharedItems containsBlank="1"/>
    </cacheField>
    <cacheField name="Gross_Net_Check" numFmtId="0">
      <sharedItems containsBlank="1"/>
    </cacheField>
    <cacheField name="Risk_Score" numFmtId="0">
      <sharedItems containsString="0" containsBlank="1" containsNumber="1" containsInteger="1" minValue="0" maxValue="2"/>
    </cacheField>
    <cacheField name="Risk_Level" numFmtId="0">
      <sharedItems containsBlank="1" count="4">
        <s v="Low"/>
        <s v="Medium"/>
        <s v="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46087"/>
    <s v="E1001"/>
    <s v="Nora Lewis"/>
    <x v="0"/>
    <s v="Operations Coordinator"/>
    <s v="CA"/>
    <s v="Active"/>
    <n v="80"/>
    <n v="0"/>
    <n v="38.46"/>
    <n v="250"/>
    <n v="3326.92"/>
    <n v="731.92"/>
    <n v="185"/>
    <n v="2410"/>
    <n v="185"/>
    <n v="3361.83"/>
    <s v="Review"/>
    <x v="0"/>
    <n v="3326.92"/>
    <s v="Needs payroll review before approval"/>
  </r>
  <r>
    <n v="46087"/>
    <s v="E1002"/>
    <s v="Omar Lee"/>
    <x v="0"/>
    <s v="Process Analyst"/>
    <s v="GA"/>
    <s v="Active"/>
    <n v="80"/>
    <n v="6"/>
    <n v="26.44"/>
    <n v="0"/>
    <n v="2353.34"/>
    <n v="517.73"/>
    <n v="185"/>
    <n v="1650.61"/>
    <n v="185"/>
    <n v="2234.79"/>
    <s v="Review"/>
    <x v="0"/>
    <n v="2353.34"/>
    <s v="Needs payroll review before approval"/>
  </r>
  <r>
    <n v="46087"/>
    <s v="E1003"/>
    <s v="Jayden Miller"/>
    <x v="1"/>
    <s v="Accounting Specialist"/>
    <s v="FL"/>
    <s v="Terminated"/>
    <n v="80"/>
    <n v="0"/>
    <n v="50.48"/>
    <n v="0"/>
    <n v="4038.46"/>
    <n v="888.46"/>
    <n v="185"/>
    <n v="2965"/>
    <n v="185"/>
    <n v="4495.16"/>
    <s v="Review"/>
    <x v="1"/>
    <n v="4038.46"/>
    <s v="Needs payroll review before approval"/>
  </r>
  <r>
    <n v="46087"/>
    <s v="E1004"/>
    <s v="Sade Anderson"/>
    <x v="1"/>
    <s v="Payroll Analyst"/>
    <s v="GA"/>
    <s v="Active"/>
    <n v="80"/>
    <n v="8"/>
    <n v="41.83"/>
    <n v="250"/>
    <n v="4098.1099999999997"/>
    <n v="901.58"/>
    <n v="185"/>
    <n v="3011.53"/>
    <n v="185"/>
    <n v="3908.17"/>
    <s v="Review"/>
    <x v="0"/>
    <n v="4098.1099999999997"/>
    <s v="Needs payroll review before approval"/>
  </r>
  <r>
    <n v="46087"/>
    <s v="E1005"/>
    <s v="Quincy Walker"/>
    <x v="0"/>
    <s v="Operations Coordinator"/>
    <s v="GA"/>
    <s v="Active"/>
    <n v="80"/>
    <n v="0"/>
    <n v="46.63"/>
    <n v="0"/>
    <n v="3730.77"/>
    <n v="820.77"/>
    <n v="310"/>
    <n v="2600"/>
    <n v="310"/>
    <n v="3946.97"/>
    <s v="Review"/>
    <x v="0"/>
    <n v="3730.77"/>
    <s v="Needs payroll review before approval"/>
  </r>
  <r>
    <n v="46087"/>
    <s v="E1006"/>
    <s v="Logan Wilson"/>
    <x v="1"/>
    <s v="Accounting Specialist"/>
    <s v="PA"/>
    <s v="Active"/>
    <n v="80"/>
    <n v="0"/>
    <n v="32.21"/>
    <n v="0"/>
    <n v="2576.92"/>
    <n v="566.91999999999996"/>
    <n v="310"/>
    <n v="1700"/>
    <n v="310"/>
    <n v="2922.01"/>
    <s v="Review"/>
    <x v="0"/>
    <n v="2576.92"/>
    <s v="Needs payroll review before approval"/>
  </r>
  <r>
    <n v="46087"/>
    <s v="E1007"/>
    <s v="Tobi Wilson"/>
    <x v="2"/>
    <s v="Support Lead"/>
    <s v="FL"/>
    <s v="Active"/>
    <n v="80"/>
    <n v="8"/>
    <n v="27.4"/>
    <n v="0"/>
    <n v="2521.11"/>
    <n v="554.64"/>
    <n v="0"/>
    <n v="1966.47"/>
    <n v="0"/>
    <n v="2477.0300000000002"/>
    <s v="Review"/>
    <x v="0"/>
    <n v="2521.11"/>
    <s v="Needs payroll review before approval"/>
  </r>
  <r>
    <n v="46087"/>
    <s v="E1008"/>
    <s v="Kemi Thomas"/>
    <x v="0"/>
    <s v="Operations Coordinator"/>
    <s v="NY"/>
    <s v="Active"/>
    <n v="80"/>
    <n v="8"/>
    <n v="41.83"/>
    <n v="4000"/>
    <n v="7848.11"/>
    <n v="1726.58"/>
    <n v="310"/>
    <n v="5811.53"/>
    <n v="310"/>
    <n v="3843.03"/>
    <s v="Review"/>
    <x v="2"/>
    <n v="7848.11"/>
    <s v="Needs payroll review before approval"/>
  </r>
  <r>
    <n v="46087"/>
    <s v="E1009"/>
    <s v="Mia Lewis"/>
    <x v="2"/>
    <s v="Support Rep"/>
    <s v="CA"/>
    <s v="Active"/>
    <n v="80"/>
    <n v="0"/>
    <n v="62.02"/>
    <n v="250"/>
    <n v="5211.54"/>
    <n v="1146.54"/>
    <n v="0"/>
    <n v="4065"/>
    <n v="0"/>
    <n v="5307.96"/>
    <s v="Review"/>
    <x v="0"/>
    <n v="5211.54"/>
    <s v="Needs payroll review before approval"/>
  </r>
  <r>
    <n v="46087"/>
    <s v="E1010"/>
    <s v="Omar Sanchez"/>
    <x v="3"/>
    <s v="Systems Analyst"/>
    <s v="PA"/>
    <s v="Active"/>
    <n v="80"/>
    <n v="28"/>
    <n v="41.35"/>
    <n v="0"/>
    <n v="5044.3900000000003"/>
    <n v="1109.77"/>
    <n v="0"/>
    <n v="3934.62"/>
    <n v="0"/>
    <n v="3915.38"/>
    <s v="Review"/>
    <x v="3"/>
    <n v="5044.3900000000003"/>
    <s v="Needs payroll review before approval"/>
  </r>
  <r>
    <n v="46087"/>
    <s v="E1011"/>
    <s v="Esther Martinez"/>
    <x v="2"/>
    <s v="Support Rep"/>
    <s v="FL"/>
    <s v="Active"/>
    <n v="80"/>
    <n v="0"/>
    <n v="44.23"/>
    <n v="0"/>
    <n v="3538.46"/>
    <n v="778.46"/>
    <n v="310"/>
    <n v="2450"/>
    <n v="310"/>
    <n v="3741.67"/>
    <s v="Review"/>
    <x v="0"/>
    <n v="3538.46"/>
    <s v="Needs payroll review before approval"/>
  </r>
  <r>
    <n v="46087"/>
    <s v="E1012"/>
    <s v="Ife Davis"/>
    <x v="2"/>
    <s v="Support Rep"/>
    <s v="PA"/>
    <s v="Active"/>
    <n v="80"/>
    <n v="4"/>
    <n v="52.88"/>
    <n v="0"/>
    <n v="4548.05"/>
    <n v="1000.57"/>
    <n v="185"/>
    <n v="3362.48"/>
    <n v="185"/>
    <n v="4661.2299999999996"/>
    <s v="Review"/>
    <x v="0"/>
    <n v="4548.05"/>
    <s v="Needs payroll review before approval"/>
  </r>
  <r>
    <n v="46087"/>
    <s v="E1013"/>
    <s v="Omar Williams"/>
    <x v="4"/>
    <s v="Sales Manager"/>
    <s v="NH"/>
    <s v="Active"/>
    <n v="80"/>
    <n v="4"/>
    <n v="60.58"/>
    <n v="0"/>
    <n v="5209.63"/>
    <n v="1146.1199999999999"/>
    <n v="310"/>
    <n v="3753.51"/>
    <n v="310"/>
    <n v="5265.61"/>
    <s v="Clear"/>
    <x v="4"/>
    <n v="0"/>
    <s v="No exception detected"/>
  </r>
  <r>
    <n v="46087"/>
    <s v="E1014"/>
    <s v="Nora Moore"/>
    <x v="5"/>
    <s v="Marketing Coordinator"/>
    <s v="MA"/>
    <s v="Active"/>
    <n v="80"/>
    <n v="2"/>
    <n v="34.130000000000003"/>
    <n v="0"/>
    <n v="2833.16"/>
    <n v="623.29999999999995"/>
    <n v="0"/>
    <n v="2209.86"/>
    <n v="0"/>
    <n v="3231.8"/>
    <s v="Clear"/>
    <x v="4"/>
    <n v="0"/>
    <s v="No exception detected"/>
  </r>
  <r>
    <n v="46087"/>
    <s v="E1015"/>
    <s v="Amina Sanchez"/>
    <x v="0"/>
    <s v="Ops Manager"/>
    <s v="GA"/>
    <s v="Active"/>
    <n v="80"/>
    <n v="4"/>
    <n v="57.21"/>
    <n v="0"/>
    <n v="4920.18"/>
    <n v="1082.44"/>
    <n v="0"/>
    <n v="3837.74"/>
    <n v="310"/>
    <n v="4945.68"/>
    <s v="Review"/>
    <x v="5"/>
    <n v="4920.18"/>
    <s v="Needs payroll review before approval"/>
  </r>
  <r>
    <n v="46087"/>
    <s v="E1016"/>
    <s v="Daniel Garcia"/>
    <x v="0"/>
    <s v="Process Analyst"/>
    <s v="RI"/>
    <s v="Active"/>
    <n v="80"/>
    <n v="8"/>
    <n v="45.67"/>
    <n v="0"/>
    <n v="4201.8900000000003"/>
    <n v="924.42"/>
    <n v="185"/>
    <n v="3092.47"/>
    <n v="185"/>
    <n v="4091.38"/>
    <s v="Clear"/>
    <x v="4"/>
    <n v="0"/>
    <s v="No exception detected"/>
  </r>
  <r>
    <n v="46087"/>
    <s v="E1017"/>
    <s v="Lina Wilson"/>
    <x v="5"/>
    <s v="Marketing Coordinator"/>
    <s v="CA"/>
    <s v="Active"/>
    <n v="80"/>
    <n v="6"/>
    <n v="35.58"/>
    <n v="250"/>
    <n v="3416.37"/>
    <n v="751.6"/>
    <n v="0"/>
    <n v="2664.77"/>
    <n v="0"/>
    <n v="3046.65"/>
    <s v="Review"/>
    <x v="0"/>
    <n v="3416.37"/>
    <s v="Needs payroll review before approval"/>
  </r>
  <r>
    <n v="46087"/>
    <s v="E1018"/>
    <s v="Aria Anderson"/>
    <x v="3"/>
    <s v="Systems Analyst"/>
    <s v="IL"/>
    <s v="Active"/>
    <n v="80"/>
    <n v="8"/>
    <n v="58.17"/>
    <n v="0"/>
    <n v="5351.89"/>
    <n v="1177.42"/>
    <n v="0"/>
    <n v="4174.47"/>
    <n v="0"/>
    <n v="5438.12"/>
    <s v="Review"/>
    <x v="0"/>
    <n v="5351.89"/>
    <s v="Needs payroll review before approval"/>
  </r>
  <r>
    <n v="46087"/>
    <s v="E1019"/>
    <s v="Priya King"/>
    <x v="5"/>
    <s v="Marketing Coordinator"/>
    <s v="NY"/>
    <s v="Active"/>
    <n v="80"/>
    <n v="0"/>
    <n v="43.75"/>
    <n v="0"/>
    <n v="3500"/>
    <n v="770"/>
    <n v="185"/>
    <n v="2545"/>
    <n v="185"/>
    <n v="3722.12"/>
    <s v="Clear"/>
    <x v="4"/>
    <n v="0"/>
    <s v="No exception detected"/>
  </r>
  <r>
    <n v="46087"/>
    <s v="E1020"/>
    <s v="Caleb Martin"/>
    <x v="0"/>
    <s v="Operations Coordinator"/>
    <s v="PA"/>
    <s v="Active"/>
    <n v="80"/>
    <n v="2"/>
    <n v="57.69"/>
    <n v="0"/>
    <n v="4788.45"/>
    <n v="1053.46"/>
    <n v="185"/>
    <n v="3549.99"/>
    <n v="185"/>
    <n v="5101.1499999999996"/>
    <s v="Review"/>
    <x v="0"/>
    <n v="4788.45"/>
    <s v="Needs payroll review before approval"/>
  </r>
  <r>
    <n v="46087"/>
    <s v="E1021"/>
    <s v="Amara Wilson"/>
    <x v="6"/>
    <s v="Recruiter"/>
    <s v="RI"/>
    <s v="Active"/>
    <n v="80"/>
    <n v="0"/>
    <n v="37.979999999999997"/>
    <n v="250"/>
    <n v="3288.46"/>
    <n v="723.46"/>
    <n v="0"/>
    <n v="2565"/>
    <n v="0"/>
    <n v="3229.55"/>
    <s v="Clear"/>
    <x v="4"/>
    <n v="0"/>
    <s v="No exception detected"/>
  </r>
  <r>
    <n v="46087"/>
    <s v="E1022"/>
    <s v="Priya Davis"/>
    <x v="7"/>
    <s v="Audit Coordinator"/>
    <s v="IL"/>
    <s v="Terminated"/>
    <n v="80"/>
    <n v="0"/>
    <n v="56.73"/>
    <n v="500"/>
    <n v="5038.46"/>
    <n v="1108.46"/>
    <n v="310"/>
    <n v="3620"/>
    <n v="310"/>
    <n v="4844.57"/>
    <s v="Review"/>
    <x v="1"/>
    <n v="5038.46"/>
    <s v="Needs payroll review before approval"/>
  </r>
  <r>
    <n v="46087"/>
    <s v="E1023"/>
    <s v="Amina Smith"/>
    <x v="0"/>
    <s v="Ops Manager"/>
    <s v="MA"/>
    <s v="Active"/>
    <n v="80"/>
    <n v="8"/>
    <n v="38.94"/>
    <n v="500"/>
    <n v="4082.66"/>
    <n v="898.19"/>
    <n v="0"/>
    <n v="3184.47"/>
    <n v="0"/>
    <n v="3465.45"/>
    <s v="Clear"/>
    <x v="4"/>
    <n v="0"/>
    <s v="No exception detected"/>
  </r>
  <r>
    <n v="46087"/>
    <s v="E1024"/>
    <s v="Priya Miller"/>
    <x v="1"/>
    <s v="Payroll Analyst"/>
    <s v="NY"/>
    <s v="Active"/>
    <n v="80"/>
    <n v="0"/>
    <n v="45.19"/>
    <n v="0"/>
    <n v="3615.38"/>
    <n v="795.38"/>
    <n v="185"/>
    <n v="2635"/>
    <n v="185"/>
    <n v="4236.99"/>
    <s v="Clear"/>
    <x v="4"/>
    <n v="0"/>
    <s v="No exception detected"/>
  </r>
  <r>
    <n v="46087"/>
    <s v="E1025"/>
    <s v="Priya Walker"/>
    <x v="5"/>
    <s v="Marketing Coordinator"/>
    <s v="RI"/>
    <s v="Active"/>
    <n v="80"/>
    <n v="0"/>
    <n v="60.1"/>
    <n v="500"/>
    <n v="5307.69"/>
    <n v="1167.69"/>
    <n v="0"/>
    <n v="4390"/>
    <n v="0"/>
    <n v="5376.02"/>
    <s v="Review"/>
    <x v="6"/>
    <n v="5307.69"/>
    <s v="Needs payroll review before approval"/>
  </r>
  <r>
    <n v="46087"/>
    <s v="E1026"/>
    <s v="Wendy Moore"/>
    <x v="5"/>
    <s v="Content Specialist"/>
    <s v="FL"/>
    <s v="Active"/>
    <n v="80"/>
    <n v="8"/>
    <n v="30.77"/>
    <n v="500"/>
    <n v="3330.78"/>
    <n v="732.77"/>
    <n v="0"/>
    <n v="2598.0100000000002"/>
    <n v="0"/>
    <n v="2755.56"/>
    <s v="Review"/>
    <x v="0"/>
    <n v="3330.78"/>
    <s v="Needs payroll review before approval"/>
  </r>
  <r>
    <n v="46087"/>
    <s v="E1027"/>
    <s v="Grace Davis"/>
    <x v="7"/>
    <s v="Risk Specialist"/>
    <s v="MA"/>
    <s v="Active"/>
    <n v="80"/>
    <n v="6"/>
    <n v="28.37"/>
    <n v="0"/>
    <n v="2524.56"/>
    <n v="555.4"/>
    <n v="310"/>
    <n v="1659.16"/>
    <n v="310"/>
    <n v="2511.63"/>
    <s v="Clear"/>
    <x v="4"/>
    <n v="0"/>
    <s v="No exception detected"/>
  </r>
  <r>
    <n v="46087"/>
    <s v="E1028"/>
    <s v="Rosa Jackson"/>
    <x v="3"/>
    <s v="Systems Analyst"/>
    <s v="RI"/>
    <s v="Active"/>
    <n v="80"/>
    <n v="0"/>
    <n v="33.17"/>
    <n v="0"/>
    <n v="2653.85"/>
    <n v="583.85"/>
    <n v="310"/>
    <n v="1760"/>
    <n v="310"/>
    <n v="3013.4"/>
    <s v="Clear"/>
    <x v="4"/>
    <n v="0"/>
    <s v="No exception detected"/>
  </r>
  <r>
    <n v="46087"/>
    <s v="E1029"/>
    <s v="Amina Smith"/>
    <x v="3"/>
    <s v="Systems Analyst"/>
    <s v="PA"/>
    <s v="Active"/>
    <n v="80"/>
    <n v="4"/>
    <n v="30.77"/>
    <n v="0"/>
    <n v="2646.16"/>
    <n v="582.16"/>
    <n v="185"/>
    <n v="1879"/>
    <n v="185"/>
    <n v="2814.32"/>
    <s v="Review"/>
    <x v="0"/>
    <n v="2646.16"/>
    <s v="Needs payroll review before approval"/>
  </r>
  <r>
    <n v="46087"/>
    <s v="E1030"/>
    <s v="David Garcia"/>
    <x v="3"/>
    <s v="Systems Analyst"/>
    <s v="GA"/>
    <s v="Active"/>
    <n v="80"/>
    <n v="2"/>
    <n v="54.33"/>
    <n v="0"/>
    <n v="4509.1400000000003"/>
    <n v="992.01"/>
    <n v="185"/>
    <n v="3332.13"/>
    <n v="185"/>
    <n v="4539.88"/>
    <s v="Review"/>
    <x v="0"/>
    <n v="4509.1400000000003"/>
    <s v="Needs payroll review before approval"/>
  </r>
  <r>
    <n v="46087"/>
    <s v="E1031"/>
    <s v="Leo Lewis"/>
    <x v="7"/>
    <s v="Compliance Analyst"/>
    <s v="GA"/>
    <s v="Active"/>
    <n v="80"/>
    <n v="0"/>
    <n v="52.88"/>
    <n v="0"/>
    <n v="4230.7700000000004"/>
    <n v="930.77"/>
    <n v="310"/>
    <n v="2990"/>
    <n v="310"/>
    <n v="4602.6499999999996"/>
    <s v="Review"/>
    <x v="0"/>
    <n v="4230.7700000000004"/>
    <s v="Needs payroll review before approval"/>
  </r>
  <r>
    <n v="46087"/>
    <s v="E1032"/>
    <s v="Ruby Perez"/>
    <x v="5"/>
    <s v="Marketing Coordinator"/>
    <s v="FL"/>
    <s v="Active"/>
    <n v="80"/>
    <n v="6"/>
    <n v="37.979999999999997"/>
    <n v="0"/>
    <n v="3380.28"/>
    <n v="743.66"/>
    <n v="185"/>
    <n v="2451.62"/>
    <n v="185"/>
    <n v="3376.91"/>
    <s v="Review"/>
    <x v="0"/>
    <n v="3380.28"/>
    <s v="Needs payroll review before approval"/>
  </r>
  <r>
    <n v="46087"/>
    <s v="E1033"/>
    <s v="Ava Wright"/>
    <x v="1"/>
    <s v="Accounting Specialist"/>
    <s v="FL"/>
    <s v="Active"/>
    <n v="80"/>
    <n v="0"/>
    <n v="27.88"/>
    <n v="0"/>
    <n v="2230.77"/>
    <n v="490.77"/>
    <n v="0"/>
    <n v="1740"/>
    <n v="0"/>
    <n v="2676.03"/>
    <s v="Review"/>
    <x v="0"/>
    <n v="2230.77"/>
    <s v="Needs payroll review before approval"/>
  </r>
  <r>
    <n v="46087"/>
    <s v="E1034"/>
    <s v="Esther Sanchez"/>
    <x v="6"/>
    <s v="HR Generalist"/>
    <s v="RI"/>
    <s v="Active"/>
    <n v="80"/>
    <n v="8"/>
    <n v="36.06"/>
    <n v="4000"/>
    <n v="7317.34"/>
    <n v="1609.81"/>
    <n v="185"/>
    <n v="5522.53"/>
    <n v="185"/>
    <n v="3481.93"/>
    <s v="Review"/>
    <x v="2"/>
    <n v="7317.34"/>
    <s v="Needs payroll review before approval"/>
  </r>
  <r>
    <n v="46087"/>
    <s v="E1035"/>
    <s v="Chika White"/>
    <x v="3"/>
    <s v="IT Support"/>
    <s v="NY"/>
    <s v="Active"/>
    <n v="80"/>
    <n v="6"/>
    <n v="39.9"/>
    <n v="0"/>
    <n v="3551.41"/>
    <n v="781.31"/>
    <n v="0"/>
    <n v="2770.1"/>
    <n v="0"/>
    <n v="3476.36"/>
    <s v="Clear"/>
    <x v="4"/>
    <n v="0"/>
    <s v="No exception detected"/>
  </r>
  <r>
    <n v="46087"/>
    <s v="E1036"/>
    <s v="Nadia Sanchez"/>
    <x v="0"/>
    <s v="Ops Manager"/>
    <s v="NH"/>
    <s v="Active"/>
    <n v="80"/>
    <n v="2"/>
    <n v="56.73"/>
    <n v="500"/>
    <n v="5208.6499999999996"/>
    <n v="1145.9000000000001"/>
    <n v="310"/>
    <n v="3752.75"/>
    <n v="310"/>
    <n v="5130.5600000000004"/>
    <s v="Clear"/>
    <x v="4"/>
    <n v="0"/>
    <s v="No exception detected"/>
  </r>
  <r>
    <n v="46087"/>
    <s v="E1037"/>
    <s v="Noah Anderson"/>
    <x v="2"/>
    <s v="Support Rep"/>
    <s v="CA"/>
    <s v="Active"/>
    <n v="80"/>
    <n v="0"/>
    <n v="32.69"/>
    <n v="250"/>
    <n v="2865.38"/>
    <n v="630.38"/>
    <n v="0"/>
    <n v="2235"/>
    <n v="0"/>
    <n v="2956.12"/>
    <s v="Review"/>
    <x v="0"/>
    <n v="2865.38"/>
    <s v="Needs payroll review before approval"/>
  </r>
  <r>
    <n v="46087"/>
    <s v="E1038"/>
    <s v="Nadia Lee"/>
    <x v="0"/>
    <s v="Operations Coordinator"/>
    <s v="PA"/>
    <s v="Active"/>
    <n v="80"/>
    <n v="0"/>
    <n v="30.77"/>
    <n v="250"/>
    <n v="2711.54"/>
    <n v="596.54"/>
    <n v="185"/>
    <n v="1930"/>
    <n v="185"/>
    <n v="2806.5"/>
    <s v="Review"/>
    <x v="0"/>
    <n v="2711.54"/>
    <s v="Needs payroll review before approval"/>
  </r>
  <r>
    <n v="46087"/>
    <s v="E1039"/>
    <s v="Kemi Jackson"/>
    <x v="4"/>
    <s v="Account Executive"/>
    <s v="IL"/>
    <s v="Active"/>
    <n v="80"/>
    <n v="0"/>
    <n v="39.9"/>
    <n v="500"/>
    <n v="3692.31"/>
    <n v="812.31"/>
    <n v="310"/>
    <n v="2570"/>
    <n v="310"/>
    <n v="3438.99"/>
    <s v="Review"/>
    <x v="0"/>
    <n v="3692.31"/>
    <s v="Needs payroll review before approval"/>
  </r>
  <r>
    <n v="46087"/>
    <s v="E1040"/>
    <s v="Ife Miller"/>
    <x v="4"/>
    <s v="Sales Manager"/>
    <s v="RI"/>
    <s v="Active"/>
    <n v="80"/>
    <n v="8"/>
    <n v="58.65"/>
    <n v="0"/>
    <n v="5396.11"/>
    <n v="1187.1400000000001"/>
    <n v="310"/>
    <n v="3898.97"/>
    <n v="310"/>
    <n v="4833.9799999999996"/>
    <s v="Clear"/>
    <x v="4"/>
    <n v="0"/>
    <s v="No exception detected"/>
  </r>
  <r>
    <n v="46087"/>
    <s v="E1041"/>
    <s v="Nadia Clark"/>
    <x v="0"/>
    <s v="Operations Coordinator"/>
    <s v="RI"/>
    <s v="Active"/>
    <n v="80"/>
    <n v="0"/>
    <n v="41.35"/>
    <n v="250"/>
    <n v="3557.69"/>
    <n v="782.69"/>
    <n v="310"/>
    <n v="2465"/>
    <n v="310"/>
    <n v="3838.22"/>
    <s v="Clear"/>
    <x v="4"/>
    <n v="0"/>
    <s v="No exception detected"/>
  </r>
  <r>
    <n v="46087"/>
    <s v="E1042"/>
    <s v="Fatima Harris"/>
    <x v="2"/>
    <s v="Support Rep"/>
    <s v="CA"/>
    <s v="Active"/>
    <n v="80"/>
    <n v="4"/>
    <n v="54.81"/>
    <n v="0"/>
    <n v="4713.4799999999996"/>
    <n v="1036.97"/>
    <n v="310"/>
    <n v="3366.51"/>
    <n v="310"/>
    <n v="4986.33"/>
    <s v="Review"/>
    <x v="0"/>
    <n v="4713.4799999999996"/>
    <s v="Needs payroll review before approval"/>
  </r>
  <r>
    <n v="46087"/>
    <s v="E1043"/>
    <s v="Kemi Lewis"/>
    <x v="7"/>
    <s v="Risk Specialist"/>
    <s v="MA"/>
    <s v="Active"/>
    <n v="80"/>
    <n v="2"/>
    <n v="45.19"/>
    <n v="500"/>
    <n v="4250.95"/>
    <n v="935.21"/>
    <n v="185"/>
    <n v="3130.74"/>
    <n v="185"/>
    <n v="4038.95"/>
    <s v="Clear"/>
    <x v="4"/>
    <n v="0"/>
    <s v="No exception detected"/>
  </r>
  <r>
    <n v="46087"/>
    <s v="E1044"/>
    <s v="Leo King"/>
    <x v="5"/>
    <s v="Growth Analyst"/>
    <s v="GA"/>
    <s v="Active"/>
    <n v="80"/>
    <n v="0"/>
    <n v="25.48"/>
    <n v="0"/>
    <n v="2038.46"/>
    <n v="448.46"/>
    <n v="185"/>
    <n v="1405"/>
    <n v="185"/>
    <n v="2294.73"/>
    <s v="Review"/>
    <x v="0"/>
    <n v="2038.46"/>
    <s v="Needs payroll review before approval"/>
  </r>
  <r>
    <n v="46087"/>
    <s v="E1045"/>
    <s v="Daniel Williams"/>
    <x v="6"/>
    <s v="Benefits Specialist"/>
    <s v="MA"/>
    <s v="Active"/>
    <n v="80"/>
    <n v="28"/>
    <n v="60.58"/>
    <n v="0"/>
    <n v="7390.51"/>
    <n v="1625.91"/>
    <n v="0"/>
    <n v="5764.6"/>
    <n v="0"/>
    <n v="5226"/>
    <s v="Review"/>
    <x v="7"/>
    <n v="7390.51"/>
    <s v="Needs payroll review before approval"/>
  </r>
  <r>
    <n v="46087"/>
    <s v="E1046"/>
    <s v="Caleb Brown"/>
    <x v="1"/>
    <s v="Financial Analyst"/>
    <s v="IL"/>
    <s v="Active"/>
    <n v="80"/>
    <n v="8"/>
    <n v="46.63"/>
    <n v="0"/>
    <n v="4290.33"/>
    <n v="943.87"/>
    <n v="185"/>
    <n v="3161.46"/>
    <n v="185"/>
    <n v="3938.37"/>
    <s v="Review"/>
    <x v="0"/>
    <n v="4290.33"/>
    <s v="Needs payroll review before approval"/>
  </r>
  <r>
    <n v="46087"/>
    <s v="E1047"/>
    <s v="Maya Okafor"/>
    <x v="2"/>
    <s v="Support Lead"/>
    <s v="GA"/>
    <s v="Active"/>
    <n v="80"/>
    <n v="6"/>
    <n v="39.42"/>
    <n v="500"/>
    <n v="4008.63"/>
    <n v="881.9"/>
    <n v="185"/>
    <n v="2941.73"/>
    <n v="185"/>
    <n v="3711.33"/>
    <s v="Review"/>
    <x v="0"/>
    <n v="4008.63"/>
    <s v="Needs payroll review before approval"/>
  </r>
  <r>
    <n v="46087"/>
    <s v="E1048"/>
    <s v="Leo Brown"/>
    <x v="6"/>
    <s v="Benefits Specialist"/>
    <s v="IL"/>
    <s v="Active"/>
    <n v="80"/>
    <n v="0"/>
    <n v="39.9"/>
    <n v="0"/>
    <n v="3192.31"/>
    <n v="702.31"/>
    <n v="310"/>
    <n v="2180"/>
    <n v="310"/>
    <n v="3604.12"/>
    <s v="Review"/>
    <x v="0"/>
    <n v="3192.31"/>
    <s v="Needs payroll review before approval"/>
  </r>
  <r>
    <n v="46087"/>
    <s v="E1049"/>
    <s v="Tanya Young"/>
    <x v="7"/>
    <s v="Compliance Analyst"/>
    <s v="PA"/>
    <s v="Active"/>
    <n v="80"/>
    <n v="2"/>
    <n v="37.020000000000003"/>
    <n v="0"/>
    <n v="3072.6"/>
    <n v="675.97"/>
    <n v="310"/>
    <n v="2086.63"/>
    <n v="310"/>
    <n v="3250.7"/>
    <s v="Review"/>
    <x v="0"/>
    <n v="3072.6"/>
    <s v="Needs payroll review before approval"/>
  </r>
  <r>
    <n v="46087"/>
    <s v="E1050"/>
    <s v="Esther Robinson"/>
    <x v="3"/>
    <s v="Systems Analyst"/>
    <s v="MA"/>
    <s v="Active"/>
    <n v="80"/>
    <n v="0"/>
    <n v="49.52"/>
    <n v="0"/>
    <n v="3961.54"/>
    <n v="871.54"/>
    <n v="310"/>
    <n v="2780"/>
    <n v="310"/>
    <n v="4316.21"/>
    <s v="Clear"/>
    <x v="4"/>
    <n v="0"/>
    <s v="No exception detected"/>
  </r>
  <r>
    <n v="46087"/>
    <s v="E1051"/>
    <s v="Henry King"/>
    <x v="4"/>
    <s v="Sales Associate"/>
    <s v="RI"/>
    <s v="Active"/>
    <n v="80"/>
    <n v="0"/>
    <n v="57.69"/>
    <n v="0"/>
    <n v="4615.38"/>
    <n v="1015.38"/>
    <n v="310"/>
    <n v="3290"/>
    <n v="310"/>
    <n v="5158.84"/>
    <s v="Clear"/>
    <x v="4"/>
    <n v="0"/>
    <s v="No exception detected"/>
  </r>
  <r>
    <n v="46087"/>
    <s v="E1052"/>
    <s v="Daniel Thomas"/>
    <x v="4"/>
    <s v="Account Executive"/>
    <s v="NH"/>
    <s v="Active"/>
    <n v="80"/>
    <n v="8"/>
    <n v="26.92"/>
    <n v="250"/>
    <n v="2726.89"/>
    <n v="599.91999999999996"/>
    <n v="185"/>
    <n v="1941.97"/>
    <n v="185"/>
    <n v="2366.75"/>
    <s v="Clear"/>
    <x v="4"/>
    <n v="0"/>
    <s v="No exception detected"/>
  </r>
  <r>
    <n v="46087"/>
    <s v="E1053"/>
    <s v="Michael Miller"/>
    <x v="2"/>
    <s v="Customer Success Associate"/>
    <s v="NH"/>
    <s v="Active"/>
    <n v="80"/>
    <n v="0"/>
    <n v="31.73"/>
    <n v="0"/>
    <n v="2538.46"/>
    <n v="558.46"/>
    <n v="310"/>
    <n v="1670"/>
    <n v="310"/>
    <n v="3022.38"/>
    <s v="Clear"/>
    <x v="4"/>
    <n v="0"/>
    <s v="No exception detected"/>
  </r>
  <r>
    <n v="46087"/>
    <s v="E1054"/>
    <s v="Yara Moore"/>
    <x v="1"/>
    <s v="Accounting Specialist"/>
    <s v="GA"/>
    <s v="Active"/>
    <n v="80"/>
    <n v="0"/>
    <n v="56.73"/>
    <n v="0"/>
    <n v="4538.46"/>
    <n v="998.46"/>
    <n v="0"/>
    <n v="3540"/>
    <n v="0"/>
    <n v="4925.92"/>
    <s v="Review"/>
    <x v="0"/>
    <n v="4538.46"/>
    <s v="Needs payroll review before approval"/>
  </r>
  <r>
    <n v="46087"/>
    <s v="E1055"/>
    <s v="Ava Wilson"/>
    <x v="0"/>
    <s v="Process Analyst"/>
    <s v="IL"/>
    <s v="Active"/>
    <n v="80"/>
    <n v="2"/>
    <n v="32.21"/>
    <n v="0"/>
    <n v="2673.55"/>
    <n v="588.17999999999995"/>
    <n v="0"/>
    <n v="2085.37"/>
    <n v="0"/>
    <n v="2936.68"/>
    <s v="Review"/>
    <x v="0"/>
    <n v="2673.55"/>
    <s v="Needs payroll review before approval"/>
  </r>
  <r>
    <n v="46087"/>
    <s v="E1056"/>
    <s v="Maya Sanchez"/>
    <x v="7"/>
    <s v="Risk Specialist"/>
    <s v="GA"/>
    <s v="Active"/>
    <n v="80"/>
    <n v="0"/>
    <n v="58.65"/>
    <n v="0"/>
    <n v="4692.3100000000004"/>
    <n v="1032.31"/>
    <n v="185"/>
    <n v="3475"/>
    <n v="185"/>
    <n v="5422.97"/>
    <s v="Review"/>
    <x v="0"/>
    <n v="4692.3100000000004"/>
    <s v="Needs payroll review before approval"/>
  </r>
  <r>
    <n v="46087"/>
    <s v="E1057"/>
    <s v="Amina Wilson"/>
    <x v="7"/>
    <s v="Audit Coordinator"/>
    <s v="TX"/>
    <s v="Active"/>
    <n v="80"/>
    <n v="0"/>
    <n v="43.27"/>
    <n v="250"/>
    <n v="3711.54"/>
    <n v="816.54"/>
    <n v="310"/>
    <n v="2585"/>
    <n v="310"/>
    <n v="3745.61"/>
    <s v="Review"/>
    <x v="0"/>
    <n v="3711.54"/>
    <s v="Needs payroll review before approval"/>
  </r>
  <r>
    <n v="46087"/>
    <s v="E1058"/>
    <s v="Noah Jackson"/>
    <x v="4"/>
    <s v="Account Executive"/>
    <s v="GA"/>
    <s v="Active"/>
    <n v="80"/>
    <n v="0"/>
    <n v="62.02"/>
    <n v="0"/>
    <n v="4961.54"/>
    <n v="1091.54"/>
    <n v="0"/>
    <n v="3870"/>
    <n v="0"/>
    <n v="5659.72"/>
    <s v="Review"/>
    <x v="0"/>
    <n v="4961.54"/>
    <s v="Needs payroll review before approval"/>
  </r>
  <r>
    <n v="46087"/>
    <s v="E1059"/>
    <s v="Caleb Smith"/>
    <x v="5"/>
    <s v="Growth Analyst"/>
    <s v="FL"/>
    <s v="Active"/>
    <n v="80"/>
    <n v="2"/>
    <n v="53.85"/>
    <n v="0"/>
    <n v="4469.24"/>
    <n v="983.23"/>
    <n v="0"/>
    <n v="3486.01"/>
    <n v="0"/>
    <n v="4520.45"/>
    <s v="Review"/>
    <x v="0"/>
    <n v="4469.24"/>
    <s v="Needs payroll review before approval"/>
  </r>
  <r>
    <n v="46087"/>
    <s v="E1060"/>
    <s v="Omar Walker"/>
    <x v="4"/>
    <s v="Sales Manager"/>
    <s v="NH"/>
    <s v="Terminated"/>
    <n v="80"/>
    <n v="2"/>
    <n v="30.29"/>
    <n v="0"/>
    <n v="2513.9499999999998"/>
    <n v="553.07000000000005"/>
    <n v="185"/>
    <n v="1775.88"/>
    <n v="185"/>
    <n v="2809.02"/>
    <s v="Review"/>
    <x v="8"/>
    <n v="2513.9499999999998"/>
    <s v="Needs payroll review before approval"/>
  </r>
  <r>
    <n v="46087"/>
    <s v="E1061"/>
    <s v="Tobi Smith"/>
    <x v="3"/>
    <s v="Systems Analyst"/>
    <s v="MA"/>
    <s v="Active"/>
    <n v="80"/>
    <n v="8"/>
    <n v="39.9"/>
    <n v="0"/>
    <n v="3671.11"/>
    <n v="807.64"/>
    <n v="310"/>
    <n v="2553.4699999999998"/>
    <n v="310"/>
    <n v="3684.3"/>
    <s v="Clear"/>
    <x v="4"/>
    <n v="0"/>
    <s v="No exception detected"/>
  </r>
  <r>
    <n v="46087"/>
    <s v="E1062"/>
    <s v="Priya Williams"/>
    <x v="5"/>
    <s v="Content Specialist"/>
    <s v="NH"/>
    <s v="Active"/>
    <n v="80"/>
    <n v="0"/>
    <n v="48.56"/>
    <n v="0"/>
    <n v="3884.62"/>
    <n v="854.62"/>
    <n v="310"/>
    <n v="2720"/>
    <n v="310"/>
    <n v="4103.1099999999997"/>
    <s v="Clear"/>
    <x v="4"/>
    <n v="0"/>
    <s v="No exception detected"/>
  </r>
  <r>
    <n v="46087"/>
    <s v="E1063"/>
    <s v="Noah Johnson"/>
    <x v="1"/>
    <s v="Payroll Analyst"/>
    <s v="GA"/>
    <s v="Active"/>
    <n v="80"/>
    <n v="8"/>
    <n v="35.58"/>
    <n v="500"/>
    <n v="3773.11"/>
    <n v="830.08"/>
    <n v="0"/>
    <n v="2943.03"/>
    <n v="0"/>
    <n v="3133.01"/>
    <s v="Review"/>
    <x v="0"/>
    <n v="3773.11"/>
    <s v="Needs payroll review before approval"/>
  </r>
  <r>
    <n v="46087"/>
    <s v="E1064"/>
    <s v="Logan White"/>
    <x v="3"/>
    <s v="Systems Analyst"/>
    <s v="PA"/>
    <s v="Active"/>
    <n v="80"/>
    <n v="0"/>
    <n v="53.37"/>
    <n v="500"/>
    <n v="4769.2299999999996"/>
    <n v="1049.23"/>
    <n v="0"/>
    <n v="3720"/>
    <n v="0"/>
    <n v="4789.8"/>
    <s v="Review"/>
    <x v="0"/>
    <n v="4769.2299999999996"/>
    <s v="Needs payroll review before approval"/>
  </r>
  <r>
    <n v="46087"/>
    <s v="E1065"/>
    <s v="Kemi Lewis"/>
    <x v="2"/>
    <s v="Customer Success Associate"/>
    <s v="NH"/>
    <s v="Active"/>
    <n v="80"/>
    <n v="6"/>
    <n v="50.96"/>
    <n v="250"/>
    <n v="4785.5600000000004"/>
    <n v="1052.82"/>
    <n v="0"/>
    <n v="3732.74"/>
    <n v="0"/>
    <n v="4725.47"/>
    <s v="Clear"/>
    <x v="4"/>
    <n v="0"/>
    <s v="No exception detected"/>
  </r>
  <r>
    <n v="46087"/>
    <s v="E1066"/>
    <s v="Lina Davis"/>
    <x v="5"/>
    <s v="Content Specialist"/>
    <s v="CA"/>
    <s v="Active"/>
    <n v="80"/>
    <n v="0"/>
    <n v="41.83"/>
    <n v="0"/>
    <n v="3346.15"/>
    <n v="736.15"/>
    <n v="0"/>
    <n v="2610"/>
    <n v="0"/>
    <n v="3618.66"/>
    <s v="Review"/>
    <x v="0"/>
    <n v="3346.15"/>
    <s v="Needs payroll review before approval"/>
  </r>
  <r>
    <n v="46087"/>
    <s v="E1067"/>
    <s v="Uche King"/>
    <x v="4"/>
    <s v="Sales Associate"/>
    <s v="NY"/>
    <s v="Active"/>
    <n v="80"/>
    <n v="8"/>
    <n v="39.42"/>
    <n v="0"/>
    <n v="3626.89"/>
    <n v="797.92"/>
    <n v="310"/>
    <n v="2643.97"/>
    <n v="310"/>
    <n v="3339.17"/>
    <s v="Review"/>
    <x v="6"/>
    <n v="3626.89"/>
    <s v="Needs payroll review before approval"/>
  </r>
  <r>
    <n v="46087"/>
    <s v="E1068"/>
    <s v="Amara Martinez"/>
    <x v="0"/>
    <s v="Operations Coordinator"/>
    <s v="TX"/>
    <s v="Active"/>
    <n v="80"/>
    <n v="0"/>
    <n v="48.56"/>
    <n v="500"/>
    <n v="4384.62"/>
    <n v="964.62"/>
    <n v="0"/>
    <n v="3420"/>
    <n v="0"/>
    <n v="4202.43"/>
    <s v="Review"/>
    <x v="0"/>
    <n v="4384.62"/>
    <s v="Needs payroll review before approval"/>
  </r>
  <r>
    <n v="46087"/>
    <s v="E1069"/>
    <s v="David Martinez"/>
    <x v="0"/>
    <s v="Ops Manager"/>
    <s v="GA"/>
    <s v="Active"/>
    <n v="80"/>
    <n v="0"/>
    <n v="58.17"/>
    <n v="0"/>
    <n v="4653.8500000000004"/>
    <n v="1023.85"/>
    <n v="310"/>
    <n v="3320"/>
    <n v="310"/>
    <n v="4963.5200000000004"/>
    <s v="Review"/>
    <x v="0"/>
    <n v="4653.8500000000004"/>
    <s v="Needs payroll review before approval"/>
  </r>
  <r>
    <n v="46087"/>
    <s v="E1070"/>
    <s v="Amina Thomas"/>
    <x v="7"/>
    <s v="Risk Specialist"/>
    <s v="NH"/>
    <s v="Active"/>
    <n v="80"/>
    <n v="2"/>
    <n v="60.1"/>
    <n v="250"/>
    <n v="5237.99"/>
    <n v="1152.3599999999999"/>
    <n v="310"/>
    <n v="3775.63"/>
    <n v="310"/>
    <n v="5402.51"/>
    <s v="Clear"/>
    <x v="4"/>
    <n v="0"/>
    <s v="No exception detected"/>
  </r>
  <r>
    <n v="46087"/>
    <s v="E1071"/>
    <s v="Ethan Davis"/>
    <x v="4"/>
    <s v="Sales Associate"/>
    <s v="GA"/>
    <s v="Active"/>
    <n v="80"/>
    <n v="0"/>
    <n v="58.17"/>
    <n v="500"/>
    <n v="5153.8500000000004"/>
    <n v="1133.8499999999999"/>
    <n v="0"/>
    <n v="4020"/>
    <n v="0"/>
    <n v="5165.62"/>
    <s v="Review"/>
    <x v="0"/>
    <n v="5153.8500000000004"/>
    <s v="Needs payroll review before approval"/>
  </r>
  <r>
    <n v="46087"/>
    <s v="E1072"/>
    <s v="Kai Garcia"/>
    <x v="4"/>
    <s v="Sales Associate"/>
    <s v="PA"/>
    <s v="Active"/>
    <n v="80"/>
    <n v="0"/>
    <n v="48.56"/>
    <n v="0"/>
    <n v="3884.62"/>
    <n v="854.62"/>
    <n v="310"/>
    <n v="2720"/>
    <n v="310"/>
    <n v="4200.12"/>
    <s v="Review"/>
    <x v="0"/>
    <n v="3884.62"/>
    <s v="Needs payroll review before approval"/>
  </r>
  <r>
    <n v="46087"/>
    <s v="E1073"/>
    <s v="Ella Sanchez"/>
    <x v="5"/>
    <s v="Marketing Coordinator"/>
    <s v="NH"/>
    <s v="Active"/>
    <n v="80"/>
    <n v="8"/>
    <n v="26.44"/>
    <n v="0"/>
    <n v="2432.66"/>
    <n v="535.19000000000005"/>
    <n v="310"/>
    <n v="1587.47"/>
    <n v="310"/>
    <n v="2511.6999999999998"/>
    <s v="Clear"/>
    <x v="4"/>
    <n v="0"/>
    <s v="No exception detected"/>
  </r>
  <r>
    <n v="46087"/>
    <s v="E1074"/>
    <s v="Quincy Taylor"/>
    <x v="1"/>
    <s v="Payroll Analyst"/>
    <s v="GA"/>
    <s v="Active"/>
    <n v="80"/>
    <n v="0"/>
    <n v="53.37"/>
    <n v="0"/>
    <n v="4269.2299999999996"/>
    <n v="939.23"/>
    <n v="185"/>
    <n v="3145"/>
    <n v="185"/>
    <n v="4463.24"/>
    <s v="Review"/>
    <x v="0"/>
    <n v="4269.2299999999996"/>
    <s v="Needs payroll review before approval"/>
  </r>
  <r>
    <n v="46087"/>
    <s v="E1075"/>
    <s v="Sade Young"/>
    <x v="2"/>
    <s v="Support Rep"/>
    <s v="PA"/>
    <s v="Active"/>
    <n v="80"/>
    <n v="8"/>
    <n v="45.67"/>
    <n v="0"/>
    <n v="4201.8900000000003"/>
    <n v="924.42"/>
    <n v="310"/>
    <n v="2967.47"/>
    <n v="310"/>
    <n v="4130.2"/>
    <s v="Review"/>
    <x v="0"/>
    <n v="4201.8900000000003"/>
    <s v="Needs payroll review before approval"/>
  </r>
  <r>
    <n v="46087"/>
    <s v="E1076"/>
    <s v="David Thomas"/>
    <x v="7"/>
    <s v="Risk Specialist"/>
    <s v="NY"/>
    <s v="Active"/>
    <n v="80"/>
    <n v="4"/>
    <n v="25.96"/>
    <n v="500"/>
    <n v="2732.68"/>
    <n v="601.19000000000005"/>
    <n v="0"/>
    <n v="2131.4899999999998"/>
    <n v="0"/>
    <n v="2386.8000000000002"/>
    <s v="Clear"/>
    <x v="4"/>
    <n v="0"/>
    <s v="No exception detected"/>
  </r>
  <r>
    <n v="46087"/>
    <s v="E1077"/>
    <s v="Brian White"/>
    <x v="3"/>
    <s v="Data Engineer"/>
    <s v="NY"/>
    <s v="Active"/>
    <n v="80"/>
    <n v="4"/>
    <n v="26.44"/>
    <n v="2500"/>
    <n v="4774.0200000000004"/>
    <n v="1050.28"/>
    <n v="185"/>
    <n v="3538.74"/>
    <n v="185"/>
    <n v="2399.14"/>
    <s v="Review"/>
    <x v="2"/>
    <n v="4774.0200000000004"/>
    <s v="Needs payroll review before approval"/>
  </r>
  <r>
    <n v="46087"/>
    <s v="E1078"/>
    <s v="Noah Clark"/>
    <x v="6"/>
    <s v="HR Generalist"/>
    <s v="TX"/>
    <s v="Active"/>
    <n v="80"/>
    <n v="2"/>
    <n v="31.73"/>
    <n v="0"/>
    <n v="2633.65"/>
    <n v="579.4"/>
    <n v="0"/>
    <n v="2054.25"/>
    <n v="0"/>
    <n v="2682.99"/>
    <s v="Review"/>
    <x v="0"/>
    <n v="2633.65"/>
    <s v="Needs payroll review before approval"/>
  </r>
  <r>
    <n v="46087"/>
    <s v="E1079"/>
    <s v="Jayden Okafor"/>
    <x v="4"/>
    <s v="Sales Associate"/>
    <s v="TX"/>
    <s v="Active"/>
    <n v="80"/>
    <n v="8"/>
    <n v="34.619999999999997"/>
    <n v="0"/>
    <n v="3184.67"/>
    <n v="700.63"/>
    <n v="310"/>
    <n v="2174.04"/>
    <n v="310"/>
    <n v="3323.43"/>
    <s v="Review"/>
    <x v="0"/>
    <n v="3184.67"/>
    <s v="Needs payroll review before approval"/>
  </r>
  <r>
    <n v="46087"/>
    <s v="E1080"/>
    <s v="Leo Young"/>
    <x v="4"/>
    <s v="Sales Manager"/>
    <s v="GA"/>
    <s v="Active"/>
    <n v="80"/>
    <n v="0"/>
    <n v="37.020000000000003"/>
    <n v="0"/>
    <n v="2961.54"/>
    <n v="651.54"/>
    <n v="185"/>
    <n v="2125"/>
    <n v="185"/>
    <n v="3391.36"/>
    <s v="Review"/>
    <x v="0"/>
    <n v="2961.54"/>
    <s v="Needs payroll review before approval"/>
  </r>
  <r>
    <n v="46087"/>
    <s v="E1081"/>
    <s v="Mia Moore"/>
    <x v="3"/>
    <s v="Systems Analyst"/>
    <s v="CA"/>
    <s v="Active"/>
    <n v="80"/>
    <n v="0"/>
    <n v="59.62"/>
    <n v="0"/>
    <n v="4769.2299999999996"/>
    <n v="1049.23"/>
    <n v="185"/>
    <n v="3535"/>
    <n v="185"/>
    <n v="5322.43"/>
    <s v="Review"/>
    <x v="0"/>
    <n v="4769.2299999999996"/>
    <s v="Needs payroll review before approval"/>
  </r>
  <r>
    <n v="46087"/>
    <s v="E1082"/>
    <s v="Grace Moore"/>
    <x v="2"/>
    <s v="Support Rep"/>
    <s v="RI"/>
    <s v="Active"/>
    <n v="80"/>
    <n v="0"/>
    <n v="25.48"/>
    <n v="0"/>
    <n v="2038.46"/>
    <n v="448.46"/>
    <n v="310"/>
    <n v="1280"/>
    <n v="310"/>
    <n v="2289.6799999999998"/>
    <s v="Clear"/>
    <x v="4"/>
    <n v="0"/>
    <s v="No exception detected"/>
  </r>
  <r>
    <n v="46087"/>
    <s v="E1083"/>
    <s v="Ivy Miller"/>
    <x v="2"/>
    <s v="Support Lead"/>
    <s v="PA"/>
    <s v="Active"/>
    <n v="80"/>
    <n v="8"/>
    <n v="51.44"/>
    <n v="0"/>
    <n v="4732.66"/>
    <n v="1041.19"/>
    <n v="185"/>
    <n v="3506.47"/>
    <n v="185"/>
    <n v="4564.1000000000004"/>
    <s v="Review"/>
    <x v="0"/>
    <n v="4732.66"/>
    <s v="Needs payroll review before approval"/>
  </r>
  <r>
    <n v="46087"/>
    <s v="E1084"/>
    <s v="Rosa King"/>
    <x v="5"/>
    <s v="Content Specialist"/>
    <s v="GA"/>
    <s v="Active"/>
    <n v="80"/>
    <n v="0"/>
    <n v="44.71"/>
    <n v="500"/>
    <n v="4076.92"/>
    <n v="896.92"/>
    <n v="185"/>
    <n v="2995"/>
    <n v="185"/>
    <n v="3819.88"/>
    <s v="Review"/>
    <x v="0"/>
    <n v="4076.92"/>
    <s v="Needs payroll review before approval"/>
  </r>
  <r>
    <n v="46087"/>
    <s v="E1085"/>
    <s v="Victor Okafor"/>
    <x v="5"/>
    <s v="Marketing Coordinator"/>
    <s v="PA"/>
    <s v="Active"/>
    <n v="80"/>
    <n v="6"/>
    <n v="62.5"/>
    <n v="500"/>
    <n v="6062.5"/>
    <n v="1333.75"/>
    <n v="0"/>
    <n v="4728.75"/>
    <n v="0"/>
    <n v="5041.28"/>
    <s v="Review"/>
    <x v="9"/>
    <n v="6062.5"/>
    <s v="Needs payroll review before approval"/>
  </r>
  <r>
    <n v="46087"/>
    <s v="E1086"/>
    <s v="Victor Miller"/>
    <x v="5"/>
    <s v="Content Specialist"/>
    <s v="TX"/>
    <s v="Active"/>
    <n v="80"/>
    <n v="0"/>
    <n v="37.979999999999997"/>
    <n v="250"/>
    <n v="3288.46"/>
    <n v="723.46"/>
    <n v="310"/>
    <n v="2255"/>
    <n v="310"/>
    <n v="3395.16"/>
    <s v="Review"/>
    <x v="0"/>
    <n v="3288.46"/>
    <s v="Needs payroll review before approval"/>
  </r>
  <r>
    <n v="46087"/>
    <s v="E1087"/>
    <s v="Kai Moore"/>
    <x v="4"/>
    <s v="Sales Manager"/>
    <s v="MA"/>
    <s v="Active"/>
    <n v="80"/>
    <n v="4"/>
    <n v="36.54"/>
    <n v="0"/>
    <n v="3142.32"/>
    <n v="691.31"/>
    <n v="185"/>
    <n v="2266.0100000000002"/>
    <n v="185"/>
    <n v="3468.59"/>
    <s v="Clear"/>
    <x v="4"/>
    <n v="0"/>
    <s v="No exception detected"/>
  </r>
  <r>
    <n v="46087"/>
    <s v="E1088"/>
    <s v="Fatima Wilson"/>
    <x v="5"/>
    <s v="Growth Analyst"/>
    <s v="FL"/>
    <s v="Active"/>
    <n v="80"/>
    <n v="8"/>
    <n v="54.81"/>
    <n v="0"/>
    <n v="5042.34"/>
    <n v="1109.31"/>
    <n v="0"/>
    <n v="3933.03"/>
    <n v="310"/>
    <n v="4864.53"/>
    <s v="Review"/>
    <x v="5"/>
    <n v="5042.34"/>
    <s v="Needs payroll review before approval"/>
  </r>
  <r>
    <n v="46087"/>
    <s v="E1089"/>
    <s v="Logan Lee"/>
    <x v="3"/>
    <s v="IT Support"/>
    <s v="FL"/>
    <s v="Active"/>
    <n v="80"/>
    <n v="0"/>
    <n v="60.58"/>
    <n v="0"/>
    <n v="4846.1499999999996"/>
    <n v="1066.1500000000001"/>
    <n v="310"/>
    <n v="3470"/>
    <n v="310"/>
    <n v="5223.76"/>
    <s v="Review"/>
    <x v="0"/>
    <n v="4846.1499999999996"/>
    <s v="Needs payroll review before approval"/>
  </r>
  <r>
    <n v="46087"/>
    <s v="E1090"/>
    <s v="Rosa Wilson"/>
    <x v="2"/>
    <s v="Customer Success Associate"/>
    <s v="IL"/>
    <s v="Active"/>
    <n v="80"/>
    <n v="0"/>
    <n v="46.63"/>
    <n v="500"/>
    <n v="4230.7700000000004"/>
    <n v="930.77"/>
    <n v="0"/>
    <n v="3300"/>
    <n v="0"/>
    <n v="4312.34"/>
    <s v="Review"/>
    <x v="0"/>
    <n v="4230.7700000000004"/>
    <s v="Needs payroll review before approval"/>
  </r>
  <r>
    <n v="46087"/>
    <s v="E1091"/>
    <s v="Sade Clark"/>
    <x v="4"/>
    <s v="Account Executive"/>
    <s v="NY"/>
    <s v="Active"/>
    <n v="80"/>
    <n v="8"/>
    <n v="44.23"/>
    <n v="0"/>
    <n v="4069.22"/>
    <n v="895.23"/>
    <n v="185"/>
    <n v="2988.99"/>
    <n v="185"/>
    <n v="3988.69"/>
    <s v="Clear"/>
    <x v="4"/>
    <n v="0"/>
    <s v="No exception detected"/>
  </r>
  <r>
    <n v="46087"/>
    <s v="E1092"/>
    <s v="Sade Lee"/>
    <x v="6"/>
    <s v="HR Generalist"/>
    <s v="FL"/>
    <s v="Active"/>
    <n v="80"/>
    <n v="0"/>
    <n v="41.83"/>
    <n v="0"/>
    <n v="3346.15"/>
    <n v="736.15"/>
    <n v="0"/>
    <n v="2610"/>
    <n v="0"/>
    <n v="3784.57"/>
    <s v="Review"/>
    <x v="0"/>
    <n v="3346.15"/>
    <s v="Needs payroll review before approval"/>
  </r>
  <r>
    <n v="46087"/>
    <s v="E1093"/>
    <s v="Tanya Okafor"/>
    <x v="4"/>
    <s v="Account Executive"/>
    <s v="FL"/>
    <s v="Active"/>
    <n v="80"/>
    <n v="0"/>
    <n v="38.94"/>
    <n v="0"/>
    <n v="3115.38"/>
    <n v="685.38"/>
    <n v="310"/>
    <n v="2120"/>
    <n v="310"/>
    <n v="3681.36"/>
    <s v="Review"/>
    <x v="0"/>
    <n v="3115.38"/>
    <s v="Needs payroll review before approval"/>
  </r>
  <r>
    <n v="46087"/>
    <s v="E1094"/>
    <s v="Lina Allen"/>
    <x v="6"/>
    <s v="Recruiter"/>
    <s v="MA"/>
    <s v="Active"/>
    <n v="80"/>
    <n v="2"/>
    <n v="58.65"/>
    <n v="0"/>
    <n v="4868.26"/>
    <n v="1071.02"/>
    <n v="310"/>
    <n v="3487.24"/>
    <n v="310"/>
    <n v="4920.12"/>
    <s v="Clear"/>
    <x v="4"/>
    <n v="0"/>
    <s v="No exception detected"/>
  </r>
  <r>
    <n v="46087"/>
    <s v="E1095"/>
    <s v="Sophia Anderson"/>
    <x v="5"/>
    <s v="Marketing Coordinator"/>
    <s v="MA"/>
    <s v="Active"/>
    <n v="80"/>
    <n v="0"/>
    <n v="42.31"/>
    <n v="250"/>
    <n v="3634.62"/>
    <n v="799.62"/>
    <n v="310"/>
    <n v="2525"/>
    <n v="310"/>
    <n v="3717.1"/>
    <s v="Clear"/>
    <x v="4"/>
    <n v="0"/>
    <s v="No exception detected"/>
  </r>
  <r>
    <n v="46087"/>
    <s v="E1096"/>
    <s v="Ethan Smith"/>
    <x v="6"/>
    <s v="HR Generalist"/>
    <s v="CA"/>
    <s v="Active"/>
    <n v="80"/>
    <n v="2"/>
    <n v="31.73"/>
    <n v="500"/>
    <n v="3133.65"/>
    <n v="689.4"/>
    <n v="185"/>
    <n v="2259.25"/>
    <n v="185"/>
    <n v="2726.47"/>
    <s v="Review"/>
    <x v="0"/>
    <n v="3133.65"/>
    <s v="Needs payroll review before approval"/>
  </r>
  <r>
    <n v="46087"/>
    <s v="E1097"/>
    <s v="Henry Perez"/>
    <x v="1"/>
    <s v="Payroll Analyst"/>
    <s v="TX"/>
    <s v="Active"/>
    <n v="80"/>
    <n v="2"/>
    <n v="43.27"/>
    <n v="0"/>
    <n v="3591.35"/>
    <n v="790.1"/>
    <n v="185"/>
    <n v="2616.25"/>
    <n v="185"/>
    <n v="3877.66"/>
    <s v="Review"/>
    <x v="0"/>
    <n v="3591.35"/>
    <s v="Needs payroll review before approval"/>
  </r>
  <r>
    <n v="46087"/>
    <s v="E1098"/>
    <s v="Sophia Wilson"/>
    <x v="7"/>
    <s v="Audit Coordinator"/>
    <s v="NH"/>
    <s v="Active"/>
    <n v="80"/>
    <n v="0"/>
    <n v="56.73"/>
    <n v="0"/>
    <n v="4538.46"/>
    <n v="998.46"/>
    <n v="310"/>
    <n v="3230"/>
    <n v="310"/>
    <n v="4787.2700000000004"/>
    <s v="Clear"/>
    <x v="4"/>
    <n v="0"/>
    <s v="No exception detected"/>
  </r>
  <r>
    <n v="46087"/>
    <s v="E1099"/>
    <s v="Sade Martinez"/>
    <x v="7"/>
    <s v="Risk Specialist"/>
    <s v="NH"/>
    <s v="Active"/>
    <n v="80"/>
    <n v="22"/>
    <n v="62.5"/>
    <n v="0"/>
    <n v="7062.5"/>
    <n v="1553.75"/>
    <n v="0"/>
    <n v="5508.75"/>
    <n v="0"/>
    <n v="5572.49"/>
    <s v="Review"/>
    <x v="7"/>
    <n v="7062.5"/>
    <s v="Needs payroll review before approval"/>
  </r>
  <r>
    <n v="46087"/>
    <s v="E1100"/>
    <s v="Esther Garcia"/>
    <x v="3"/>
    <s v="IT Support"/>
    <s v="NY"/>
    <s v="Active"/>
    <n v="80"/>
    <n v="0"/>
    <n v="39.42"/>
    <n v="0"/>
    <n v="3153.85"/>
    <n v="693.85"/>
    <n v="185"/>
    <n v="2275"/>
    <n v="185"/>
    <n v="3683.68"/>
    <s v="Clear"/>
    <x v="4"/>
    <n v="0"/>
    <s v="No exception detected"/>
  </r>
  <r>
    <n v="46087"/>
    <s v="E1101"/>
    <s v="Samuel Clark"/>
    <x v="1"/>
    <s v="Financial Analyst"/>
    <s v="PA"/>
    <s v="Active"/>
    <n v="80"/>
    <n v="0"/>
    <n v="42.79"/>
    <n v="0"/>
    <n v="3423.08"/>
    <n v="753.08"/>
    <n v="185"/>
    <n v="2485"/>
    <n v="185"/>
    <n v="3837.08"/>
    <s v="Review"/>
    <x v="0"/>
    <n v="3423.08"/>
    <s v="Needs payroll review before approval"/>
  </r>
  <r>
    <n v="46087"/>
    <s v="E1102"/>
    <s v="Caleb Walker"/>
    <x v="4"/>
    <s v="Sales Manager"/>
    <s v="PA"/>
    <s v="Active"/>
    <n v="80"/>
    <n v="0"/>
    <n v="38.94"/>
    <n v="0"/>
    <n v="3115.38"/>
    <n v="685.38"/>
    <n v="310"/>
    <n v="2120"/>
    <n v="310"/>
    <n v="3556.82"/>
    <s v="Review"/>
    <x v="0"/>
    <n v="3115.38"/>
    <s v="Needs payroll review before approval"/>
  </r>
  <r>
    <n v="46087"/>
    <s v="E1103"/>
    <s v="Rosa Young"/>
    <x v="3"/>
    <s v="IT Support"/>
    <s v="NY"/>
    <s v="Active"/>
    <n v="80"/>
    <n v="0"/>
    <n v="38.46"/>
    <n v="0"/>
    <n v="3076.92"/>
    <n v="676.92"/>
    <n v="0"/>
    <n v="2400"/>
    <n v="0"/>
    <n v="3385.8"/>
    <s v="Clear"/>
    <x v="4"/>
    <n v="0"/>
    <s v="No exception detected"/>
  </r>
  <r>
    <n v="46087"/>
    <s v="E1104"/>
    <s v="Samuel Jackson"/>
    <x v="6"/>
    <s v="HR Generalist"/>
    <s v="MA"/>
    <s v="Active"/>
    <n v="80"/>
    <n v="4"/>
    <n v="43.75"/>
    <n v="250"/>
    <n v="4012.5"/>
    <n v="882.75"/>
    <n v="0"/>
    <n v="3129.75"/>
    <n v="0"/>
    <n v="4278.58"/>
    <s v="Clear"/>
    <x v="4"/>
    <n v="0"/>
    <s v="No exception detected"/>
  </r>
  <r>
    <n v="46087"/>
    <s v="E1105"/>
    <s v="Ethan Jackson"/>
    <x v="0"/>
    <s v="Ops Manager"/>
    <s v="CA"/>
    <s v="Active"/>
    <n v="80"/>
    <n v="4"/>
    <n v="41.35"/>
    <n v="0"/>
    <n v="3555.79"/>
    <n v="782.27"/>
    <n v="0"/>
    <n v="2598.52"/>
    <n v="0"/>
    <n v="3846.76"/>
    <s v="Review"/>
    <x v="10"/>
    <n v="3555.79"/>
    <s v="Needs payroll review before approval"/>
  </r>
  <r>
    <n v="46087"/>
    <s v="E1106"/>
    <s v="Brian Smith"/>
    <x v="0"/>
    <s v="Process Analyst"/>
    <s v="MA"/>
    <s v="Active"/>
    <n v="80"/>
    <n v="0"/>
    <n v="44.71"/>
    <n v="0"/>
    <n v="3576.92"/>
    <n v="786.92"/>
    <n v="0"/>
    <n v="2790"/>
    <n v="0"/>
    <n v="3743.41"/>
    <s v="Clear"/>
    <x v="4"/>
    <n v="0"/>
    <s v="No exception detected"/>
  </r>
  <r>
    <n v="46087"/>
    <s v="E1107"/>
    <s v="Sade Robinson"/>
    <x v="3"/>
    <s v="Data Engineer"/>
    <s v="NH"/>
    <s v="Active"/>
    <n v="80"/>
    <n v="2"/>
    <n v="41.35"/>
    <n v="250"/>
    <n v="3681.74"/>
    <n v="809.98"/>
    <n v="0"/>
    <n v="2871.76"/>
    <n v="0"/>
    <n v="3373.84"/>
    <s v="Clear"/>
    <x v="4"/>
    <n v="0"/>
    <s v="No exception detected"/>
  </r>
  <r>
    <n v="46087"/>
    <s v="E1108"/>
    <s v="Daniel Harris"/>
    <x v="6"/>
    <s v="Recruiter"/>
    <s v="RI"/>
    <s v="Active"/>
    <n v="80"/>
    <n v="2"/>
    <n v="41.83"/>
    <n v="0"/>
    <n v="3471.64"/>
    <n v="763.76"/>
    <n v="185"/>
    <n v="2522.88"/>
    <n v="185"/>
    <n v="3525.47"/>
    <s v="Clear"/>
    <x v="4"/>
    <n v="0"/>
    <s v="No exception detected"/>
  </r>
  <r>
    <n v="46087"/>
    <s v="E1109"/>
    <s v="Caleb Brown"/>
    <x v="5"/>
    <s v="Marketing Coordinator"/>
    <s v="PA"/>
    <s v="Active"/>
    <n v="80"/>
    <n v="0"/>
    <n v="50"/>
    <n v="0"/>
    <n v="4000"/>
    <n v="880"/>
    <n v="310"/>
    <n v="2810"/>
    <n v="310"/>
    <n v="4607.6000000000004"/>
    <s v="Review"/>
    <x v="0"/>
    <n v="4000"/>
    <s v="Needs payroll review before approval"/>
  </r>
  <r>
    <n v="46087"/>
    <s v="E1110"/>
    <s v="Sade Perez"/>
    <x v="6"/>
    <s v="Recruiter"/>
    <s v="GA"/>
    <s v="Active"/>
    <n v="80"/>
    <n v="28"/>
    <n v="42.31"/>
    <n v="0"/>
    <n v="5161.6400000000003"/>
    <n v="1135.56"/>
    <n v="0"/>
    <n v="4026.08"/>
    <n v="0"/>
    <n v="3642.57"/>
    <s v="Review"/>
    <x v="3"/>
    <n v="5161.6400000000003"/>
    <s v="Needs payroll review before approval"/>
  </r>
  <r>
    <n v="46087"/>
    <s v="E1111"/>
    <s v="Tobi Taylor"/>
    <x v="1"/>
    <s v="Financial Analyst"/>
    <s v="NY"/>
    <s v="Active"/>
    <n v="80"/>
    <n v="0"/>
    <n v="40.380000000000003"/>
    <n v="500"/>
    <n v="3730.77"/>
    <n v="820.77"/>
    <n v="310"/>
    <n v="2600"/>
    <n v="310"/>
    <n v="3341.62"/>
    <s v="Clear"/>
    <x v="4"/>
    <n v="0"/>
    <s v="No exception detected"/>
  </r>
  <r>
    <n v="46087"/>
    <s v="E1112"/>
    <s v="Lucas Thomas"/>
    <x v="1"/>
    <s v="Accounting Specialist"/>
    <s v="RI"/>
    <s v="Active"/>
    <n v="80"/>
    <n v="8"/>
    <n v="50"/>
    <n v="250"/>
    <n v="4850"/>
    <n v="1067"/>
    <n v="185"/>
    <n v="3598"/>
    <n v="185"/>
    <n v="4311.74"/>
    <s v="Clear"/>
    <x v="4"/>
    <n v="0"/>
    <s v="No exception detected"/>
  </r>
  <r>
    <n v="46087"/>
    <s v="E1113"/>
    <s v="Samuel Jackson"/>
    <x v="5"/>
    <s v="Growth Analyst"/>
    <s v="PA"/>
    <s v="Terminated"/>
    <n v="80"/>
    <n v="0"/>
    <n v="41.35"/>
    <n v="500"/>
    <n v="3807.69"/>
    <n v="837.69"/>
    <n v="0"/>
    <n v="2970"/>
    <n v="0"/>
    <n v="3994.52"/>
    <s v="Review"/>
    <x v="1"/>
    <n v="3807.69"/>
    <s v="Needs payroll review before approval"/>
  </r>
  <r>
    <n v="46087"/>
    <s v="E1114"/>
    <s v="Logan Moore"/>
    <x v="5"/>
    <s v="Marketing Coordinator"/>
    <s v="MA"/>
    <s v="Terminated"/>
    <n v="80"/>
    <n v="8"/>
    <n v="43.75"/>
    <n v="250"/>
    <n v="4275"/>
    <n v="940.5"/>
    <n v="0"/>
    <n v="3334.5"/>
    <n v="0"/>
    <n v="4046.24"/>
    <s v="Review"/>
    <x v="8"/>
    <n v="4275"/>
    <s v="Needs payroll review before approval"/>
  </r>
  <r>
    <n v="46087"/>
    <s v="E1115"/>
    <s v="Ava Clark"/>
    <x v="0"/>
    <s v="Operations Coordinator"/>
    <s v="NY"/>
    <s v="Terminated"/>
    <n v="80"/>
    <n v="8"/>
    <n v="34.130000000000003"/>
    <n v="0"/>
    <n v="3140.33"/>
    <n v="690.87"/>
    <n v="310"/>
    <n v="2139.46"/>
    <n v="310"/>
    <n v="2933.85"/>
    <s v="Review"/>
    <x v="8"/>
    <n v="3140.33"/>
    <s v="Needs payroll review before approval"/>
  </r>
  <r>
    <n v="46087"/>
    <s v="E1116"/>
    <s v="Zainab Martinez"/>
    <x v="4"/>
    <s v="Sales Associate"/>
    <s v="PA"/>
    <s v="Terminated"/>
    <n v="80"/>
    <n v="2"/>
    <n v="52.88"/>
    <n v="500"/>
    <n v="4889.41"/>
    <n v="1075.67"/>
    <n v="0"/>
    <n v="3813.74"/>
    <n v="0"/>
    <n v="4535.18"/>
    <s v="Review"/>
    <x v="1"/>
    <n v="4889.41"/>
    <s v="Needs payroll review before approval"/>
  </r>
  <r>
    <n v="46087"/>
    <s v="E1117"/>
    <s v="Samuel Lewis"/>
    <x v="6"/>
    <s v="HR Generalist"/>
    <s v="CA"/>
    <s v="Terminated"/>
    <n v="80"/>
    <n v="0"/>
    <n v="55.77"/>
    <n v="0"/>
    <n v="4461.54"/>
    <n v="981.54"/>
    <n v="310"/>
    <n v="3170"/>
    <n v="310"/>
    <n v="4940.04"/>
    <s v="Review"/>
    <x v="1"/>
    <n v="4461.54"/>
    <s v="Needs payroll review before approval"/>
  </r>
  <r>
    <n v="46087"/>
    <s v="E1118"/>
    <s v="Wendy Anderson"/>
    <x v="4"/>
    <s v="Sales Manager"/>
    <s v="NH"/>
    <s v="Terminated"/>
    <n v="80"/>
    <n v="4"/>
    <n v="52.4"/>
    <n v="0"/>
    <n v="4506.71"/>
    <n v="991.48"/>
    <n v="0"/>
    <n v="3515.23"/>
    <n v="0"/>
    <n v="4533.6099999999997"/>
    <s v="Review"/>
    <x v="8"/>
    <n v="4506.71"/>
    <s v="Needs payroll review before approval"/>
  </r>
  <r>
    <n v="46087"/>
    <s v="E1119"/>
    <s v="Tobi Moore"/>
    <x v="7"/>
    <s v="Risk Specialist"/>
    <s v="IL"/>
    <s v="Terminated"/>
    <n v="80"/>
    <n v="0"/>
    <n v="60.1"/>
    <n v="250"/>
    <n v="5057.6899999999996"/>
    <n v="1112.69"/>
    <n v="310"/>
    <n v="3635"/>
    <n v="310"/>
    <n v="5489.34"/>
    <s v="Review"/>
    <x v="1"/>
    <n v="5057.6899999999996"/>
    <s v="Needs payroll review before approval"/>
  </r>
  <r>
    <n v="46087"/>
    <s v="E1120"/>
    <s v="Ife Lee"/>
    <x v="1"/>
    <s v="Financial Analyst"/>
    <s v="PA"/>
    <s v="Terminated"/>
    <n v="80"/>
    <n v="4"/>
    <n v="34.130000000000003"/>
    <n v="0"/>
    <n v="2935.55"/>
    <n v="645.82000000000005"/>
    <n v="310"/>
    <n v="1979.73"/>
    <n v="310"/>
    <n v="3180.33"/>
    <s v="Review"/>
    <x v="1"/>
    <n v="2935.55"/>
    <s v="Needs payroll review before approval"/>
  </r>
  <r>
    <n v="46087"/>
    <s v="E1121"/>
    <s v="Kai Williams"/>
    <x v="2"/>
    <s v="Support Rep"/>
    <s v="PA"/>
    <s v="Leave"/>
    <n v="80"/>
    <n v="2"/>
    <n v="57.21"/>
    <n v="0"/>
    <n v="4748.55"/>
    <n v="1044.68"/>
    <n v="310"/>
    <n v="3393.87"/>
    <n v="310"/>
    <n v="4765.7700000000004"/>
    <s v="Review"/>
    <x v="0"/>
    <n v="4748.55"/>
    <s v="Needs payroll review before approval"/>
  </r>
  <r>
    <n v="46087"/>
    <s v="E1122"/>
    <s v="Mateo Clark"/>
    <x v="7"/>
    <s v="Audit Coordinator"/>
    <s v="TX"/>
    <s v="Leave"/>
    <n v="80"/>
    <n v="0"/>
    <n v="53.85"/>
    <n v="4000"/>
    <n v="8307.69"/>
    <n v="1827.69"/>
    <n v="310"/>
    <n v="6170"/>
    <n v="310"/>
    <n v="4585.9399999999996"/>
    <s v="Review"/>
    <x v="9"/>
    <n v="8307.69"/>
    <s v="Needs payroll review before approval"/>
  </r>
  <r>
    <n v="46087"/>
    <s v="E1123"/>
    <s v="Lina Clark"/>
    <x v="7"/>
    <s v="Audit Coordinator"/>
    <s v="NY"/>
    <s v="Leave"/>
    <n v="80"/>
    <n v="4"/>
    <n v="57.69"/>
    <n v="0"/>
    <n v="4961.5200000000004"/>
    <n v="1091.53"/>
    <n v="310"/>
    <n v="3559.99"/>
    <n v="310"/>
    <n v="4603.6000000000004"/>
    <s v="Clear"/>
    <x v="4"/>
    <n v="0"/>
    <s v="No exception detected"/>
  </r>
  <r>
    <n v="46087"/>
    <s v="E1124"/>
    <s v="Omar Lewis"/>
    <x v="5"/>
    <s v="Growth Analyst"/>
    <s v="MA"/>
    <s v="Leave"/>
    <n v="80"/>
    <n v="0"/>
    <n v="39.42"/>
    <n v="0"/>
    <n v="3153.85"/>
    <n v="693.85"/>
    <n v="0"/>
    <n v="2460"/>
    <n v="0"/>
    <n v="3460.81"/>
    <s v="Clear"/>
    <x v="4"/>
    <n v="0"/>
    <s v="No exception detected"/>
  </r>
  <r>
    <n v="46087"/>
    <s v="E1125"/>
    <s v="Brian Johnson"/>
    <x v="0"/>
    <s v="Ops Manager"/>
    <s v="NY"/>
    <s v="Leave"/>
    <n v="80"/>
    <n v="0"/>
    <n v="51.92"/>
    <n v="0"/>
    <n v="4153.8500000000004"/>
    <n v="913.85"/>
    <n v="185"/>
    <n v="3055"/>
    <n v="185"/>
    <n v="4692.18"/>
    <s v="Clear"/>
    <x v="4"/>
    <n v="0"/>
    <s v="No exception detected"/>
  </r>
  <r>
    <n v="46087"/>
    <s v="E1018"/>
    <s v="Aria Anderson"/>
    <x v="3"/>
    <s v="Systems Analyst"/>
    <s v="IL"/>
    <s v="Active"/>
    <n v="80"/>
    <n v="8"/>
    <n v="58.17"/>
    <n v="0"/>
    <n v="5351.89"/>
    <n v="1177.42"/>
    <n v="0"/>
    <n v="4174.47"/>
    <n v="0"/>
    <n v="5438.12"/>
    <s v="Review"/>
    <x v="0"/>
    <n v="5351.89"/>
    <s v="Duplicate row intentionally added for audit testing"/>
  </r>
  <r>
    <m/>
    <m/>
    <m/>
    <x v="8"/>
    <m/>
    <m/>
    <m/>
    <m/>
    <m/>
    <m/>
    <m/>
    <m/>
    <m/>
    <m/>
    <m/>
    <m/>
    <m/>
    <m/>
    <x v="1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46087"/>
    <s v="E1001"/>
    <s v="Nora Lewis"/>
    <x v="0"/>
    <s v="Operations Coordinator"/>
    <s v="CA"/>
    <s v="Active"/>
    <n v="80"/>
    <n v="0"/>
    <n v="38.46"/>
    <n v="250"/>
    <n v="3326.92"/>
    <n v="731.92"/>
    <n v="185"/>
    <n v="2410"/>
    <n v="185"/>
    <n v="3361.83"/>
    <s v="Review"/>
    <s v="Potential state nexus"/>
    <n v="3326.92"/>
    <s v="Needs payroll review before approval"/>
    <s v="OK"/>
    <s v="OK"/>
    <s v="OK"/>
    <s v="OK"/>
    <n v="0"/>
    <x v="0"/>
  </r>
  <r>
    <n v="46087"/>
    <s v="E1002"/>
    <s v="Omar Lee"/>
    <x v="0"/>
    <s v="Process Analyst"/>
    <s v="GA"/>
    <s v="Active"/>
    <n v="80"/>
    <n v="6"/>
    <n v="26.44"/>
    <n v="0"/>
    <n v="2353.34"/>
    <n v="517.73"/>
    <n v="185"/>
    <n v="1650.61"/>
    <n v="185"/>
    <n v="2234.79"/>
    <s v="Review"/>
    <s v="Potential state nexus"/>
    <n v="2353.34"/>
    <s v="Needs payroll review before approval"/>
    <s v="OK"/>
    <s v="OK"/>
    <s v="OK"/>
    <s v="OK"/>
    <n v="0"/>
    <x v="0"/>
  </r>
  <r>
    <n v="46087"/>
    <s v="E1003"/>
    <s v="Jayden Miller"/>
    <x v="1"/>
    <s v="Accounting Specialist"/>
    <s v="FL"/>
    <s v="Terminated"/>
    <n v="80"/>
    <n v="0"/>
    <n v="50.48"/>
    <n v="0"/>
    <n v="4038.46"/>
    <n v="888.46"/>
    <n v="185"/>
    <n v="2965"/>
    <n v="185"/>
    <n v="4495.16"/>
    <s v="Review"/>
    <s v="Terminated employee paid; Potential state nexus"/>
    <n v="4038.46"/>
    <s v="Needs payroll review before approval"/>
    <s v="OK"/>
    <s v="OK"/>
    <s v="Flag"/>
    <s v="OK"/>
    <n v="1"/>
    <x v="1"/>
  </r>
  <r>
    <n v="46087"/>
    <s v="E1004"/>
    <s v="Sade Anderson"/>
    <x v="1"/>
    <s v="Payroll Analyst"/>
    <s v="GA"/>
    <s v="Active"/>
    <n v="80"/>
    <n v="8"/>
    <n v="41.83"/>
    <n v="250"/>
    <n v="4098.1099999999997"/>
    <n v="901.58"/>
    <n v="185"/>
    <n v="3011.53"/>
    <n v="185"/>
    <n v="3908.17"/>
    <s v="Review"/>
    <s v="Potential state nexus"/>
    <n v="4098.1099999999997"/>
    <s v="Needs payroll review before approval"/>
    <s v="OK"/>
    <s v="OK"/>
    <s v="OK"/>
    <s v="OK"/>
    <n v="0"/>
    <x v="0"/>
  </r>
  <r>
    <n v="46087"/>
    <s v="E1005"/>
    <s v="Quincy Walker"/>
    <x v="0"/>
    <s v="Operations Coordinator"/>
    <s v="GA"/>
    <s v="Active"/>
    <n v="80"/>
    <n v="0"/>
    <n v="46.63"/>
    <n v="0"/>
    <n v="3730.77"/>
    <n v="820.77"/>
    <n v="310"/>
    <n v="2600"/>
    <n v="310"/>
    <n v="3946.97"/>
    <s v="Review"/>
    <s v="Potential state nexus"/>
    <n v="3730.77"/>
    <s v="Needs payroll review before approval"/>
    <s v="OK"/>
    <s v="OK"/>
    <s v="OK"/>
    <s v="OK"/>
    <n v="0"/>
    <x v="0"/>
  </r>
  <r>
    <n v="46087"/>
    <s v="E1006"/>
    <s v="Logan Wilson"/>
    <x v="1"/>
    <s v="Accounting Specialist"/>
    <s v="PA"/>
    <s v="Active"/>
    <n v="80"/>
    <n v="0"/>
    <n v="32.21"/>
    <n v="0"/>
    <n v="2576.92"/>
    <n v="566.91999999999996"/>
    <n v="310"/>
    <n v="1700"/>
    <n v="310"/>
    <n v="2922.01"/>
    <s v="Review"/>
    <s v="Potential state nexus"/>
    <n v="2576.92"/>
    <s v="Needs payroll review before approval"/>
    <s v="OK"/>
    <s v="OK"/>
    <s v="OK"/>
    <s v="OK"/>
    <n v="0"/>
    <x v="0"/>
  </r>
  <r>
    <n v="46087"/>
    <s v="E1007"/>
    <s v="Tobi Wilson"/>
    <x v="2"/>
    <s v="Support Lead"/>
    <s v="FL"/>
    <s v="Active"/>
    <n v="80"/>
    <n v="8"/>
    <n v="27.4"/>
    <n v="0"/>
    <n v="2521.11"/>
    <n v="554.64"/>
    <n v="0"/>
    <n v="1966.47"/>
    <n v="0"/>
    <n v="2477.0300000000002"/>
    <s v="Review"/>
    <s v="Potential state nexus"/>
    <n v="2521.11"/>
    <s v="Needs payroll review before approval"/>
    <s v="OK"/>
    <s v="OK"/>
    <s v="OK"/>
    <s v="OK"/>
    <n v="0"/>
    <x v="0"/>
  </r>
  <r>
    <n v="46087"/>
    <s v="E1008"/>
    <s v="Kemi Thomas"/>
    <x v="0"/>
    <s v="Operations Coordinator"/>
    <s v="NY"/>
    <s v="Active"/>
    <n v="80"/>
    <n v="8"/>
    <n v="41.83"/>
    <n v="4000"/>
    <n v="7848.11"/>
    <n v="1726.58"/>
    <n v="310"/>
    <n v="5811.53"/>
    <n v="310"/>
    <n v="3843.03"/>
    <s v="Review"/>
    <s v="Pay spike/drop"/>
    <n v="7848.11"/>
    <s v="Needs payroll review before approval"/>
    <s v="Flag"/>
    <s v="OK"/>
    <s v="OK"/>
    <s v="OK"/>
    <n v="1"/>
    <x v="1"/>
  </r>
  <r>
    <n v="46087"/>
    <s v="E1009"/>
    <s v="Mia Lewis"/>
    <x v="2"/>
    <s v="Support Rep"/>
    <s v="CA"/>
    <s v="Active"/>
    <n v="80"/>
    <n v="0"/>
    <n v="62.02"/>
    <n v="250"/>
    <n v="5211.54"/>
    <n v="1146.54"/>
    <n v="0"/>
    <n v="4065"/>
    <n v="0"/>
    <n v="5307.96"/>
    <s v="Review"/>
    <s v="Potential state nexus"/>
    <n v="5211.54"/>
    <s v="Needs payroll review before approval"/>
    <s v="OK"/>
    <s v="OK"/>
    <s v="OK"/>
    <s v="OK"/>
    <n v="0"/>
    <x v="0"/>
  </r>
  <r>
    <n v="46087"/>
    <s v="E1010"/>
    <s v="Omar Sanchez"/>
    <x v="3"/>
    <s v="Systems Analyst"/>
    <s v="PA"/>
    <s v="Active"/>
    <n v="80"/>
    <n v="28"/>
    <n v="41.35"/>
    <n v="0"/>
    <n v="5044.3900000000003"/>
    <n v="1109.77"/>
    <n v="0"/>
    <n v="3934.62"/>
    <n v="0"/>
    <n v="3915.38"/>
    <s v="Review"/>
    <s v="Overtime threshold; Pay spike/drop; Potential state nexus"/>
    <n v="5044.3900000000003"/>
    <s v="Needs payroll review before approval"/>
    <s v="Flag"/>
    <s v="Flag"/>
    <s v="OK"/>
    <s v="OK"/>
    <n v="2"/>
    <x v="2"/>
  </r>
  <r>
    <n v="46087"/>
    <s v="E1011"/>
    <s v="Esther Martinez"/>
    <x v="2"/>
    <s v="Support Rep"/>
    <s v="FL"/>
    <s v="Active"/>
    <n v="80"/>
    <n v="0"/>
    <n v="44.23"/>
    <n v="0"/>
    <n v="3538.46"/>
    <n v="778.46"/>
    <n v="310"/>
    <n v="2450"/>
    <n v="310"/>
    <n v="3741.67"/>
    <s v="Review"/>
    <s v="Potential state nexus"/>
    <n v="3538.46"/>
    <s v="Needs payroll review before approval"/>
    <s v="OK"/>
    <s v="OK"/>
    <s v="OK"/>
    <s v="OK"/>
    <n v="0"/>
    <x v="0"/>
  </r>
  <r>
    <n v="46087"/>
    <s v="E1012"/>
    <s v="Ife Davis"/>
    <x v="2"/>
    <s v="Support Rep"/>
    <s v="PA"/>
    <s v="Active"/>
    <n v="80"/>
    <n v="4"/>
    <n v="52.88"/>
    <n v="0"/>
    <n v="4548.05"/>
    <n v="1000.57"/>
    <n v="185"/>
    <n v="3362.48"/>
    <n v="185"/>
    <n v="4661.2299999999996"/>
    <s v="Review"/>
    <s v="Potential state nexus"/>
    <n v="4548.05"/>
    <s v="Needs payroll review before approval"/>
    <s v="OK"/>
    <s v="OK"/>
    <s v="OK"/>
    <s v="OK"/>
    <n v="0"/>
    <x v="0"/>
  </r>
  <r>
    <n v="46087"/>
    <s v="E1013"/>
    <s v="Omar Williams"/>
    <x v="4"/>
    <s v="Sales Manager"/>
    <s v="NH"/>
    <s v="Active"/>
    <n v="80"/>
    <n v="4"/>
    <n v="60.58"/>
    <n v="0"/>
    <n v="5209.63"/>
    <n v="1146.1199999999999"/>
    <n v="310"/>
    <n v="3753.51"/>
    <n v="310"/>
    <n v="5265.61"/>
    <s v="Clear"/>
    <s v="None"/>
    <n v="0"/>
    <s v="No exception detected"/>
    <s v="OK"/>
    <s v="OK"/>
    <s v="OK"/>
    <s v="OK"/>
    <n v="0"/>
    <x v="0"/>
  </r>
  <r>
    <n v="46087"/>
    <s v="E1014"/>
    <s v="Nora Moore"/>
    <x v="5"/>
    <s v="Marketing Coordinator"/>
    <s v="MA"/>
    <s v="Active"/>
    <n v="80"/>
    <n v="2"/>
    <n v="34.130000000000003"/>
    <n v="0"/>
    <n v="2833.16"/>
    <n v="623.29999999999995"/>
    <n v="0"/>
    <n v="2209.86"/>
    <n v="0"/>
    <n v="3231.8"/>
    <s v="Clear"/>
    <s v="None"/>
    <n v="0"/>
    <s v="No exception detected"/>
    <s v="OK"/>
    <s v="OK"/>
    <s v="OK"/>
    <s v="OK"/>
    <n v="0"/>
    <x v="0"/>
  </r>
  <r>
    <n v="46087"/>
    <s v="E1015"/>
    <s v="Amina Sanchez"/>
    <x v="0"/>
    <s v="Ops Manager"/>
    <s v="GA"/>
    <s v="Active"/>
    <n v="80"/>
    <n v="4"/>
    <n v="57.21"/>
    <n v="0"/>
    <n v="4920.18"/>
    <n v="1082.44"/>
    <n v="0"/>
    <n v="3837.74"/>
    <n v="310"/>
    <n v="4945.68"/>
    <s v="Review"/>
    <s v="Missing deduction; Potential state nexus"/>
    <n v="4920.18"/>
    <s v="Needs payroll review before approval"/>
    <s v="OK"/>
    <s v="OK"/>
    <s v="OK"/>
    <s v="OK"/>
    <n v="0"/>
    <x v="0"/>
  </r>
  <r>
    <n v="46087"/>
    <s v="E1016"/>
    <s v="Daniel Garcia"/>
    <x v="0"/>
    <s v="Process Analyst"/>
    <s v="RI"/>
    <s v="Active"/>
    <n v="80"/>
    <n v="8"/>
    <n v="45.67"/>
    <n v="0"/>
    <n v="4201.8900000000003"/>
    <n v="924.42"/>
    <n v="185"/>
    <n v="3092.47"/>
    <n v="185"/>
    <n v="4091.38"/>
    <s v="Clear"/>
    <s v="None"/>
    <n v="0"/>
    <s v="No exception detected"/>
    <s v="OK"/>
    <s v="OK"/>
    <s v="OK"/>
    <s v="OK"/>
    <n v="0"/>
    <x v="0"/>
  </r>
  <r>
    <n v="46087"/>
    <s v="E1017"/>
    <s v="Lina Wilson"/>
    <x v="5"/>
    <s v="Marketing Coordinator"/>
    <s v="CA"/>
    <s v="Active"/>
    <n v="80"/>
    <n v="6"/>
    <n v="35.58"/>
    <n v="250"/>
    <n v="3416.37"/>
    <n v="751.6"/>
    <n v="0"/>
    <n v="2664.77"/>
    <n v="0"/>
    <n v="3046.65"/>
    <s v="Review"/>
    <s v="Potential state nexus"/>
    <n v="3416.37"/>
    <s v="Needs payroll review before approval"/>
    <s v="OK"/>
    <s v="OK"/>
    <s v="OK"/>
    <s v="OK"/>
    <n v="0"/>
    <x v="0"/>
  </r>
  <r>
    <n v="46087"/>
    <s v="E1018"/>
    <s v="Aria Anderson"/>
    <x v="3"/>
    <s v="Systems Analyst"/>
    <s v="IL"/>
    <s v="Active"/>
    <n v="80"/>
    <n v="8"/>
    <n v="58.17"/>
    <n v="0"/>
    <n v="5351.89"/>
    <n v="1177.42"/>
    <n v="0"/>
    <n v="4174.47"/>
    <n v="0"/>
    <n v="5438.12"/>
    <s v="Review"/>
    <s v="Potential state nexus"/>
    <n v="5351.89"/>
    <s v="Needs payroll review before approval"/>
    <s v="OK"/>
    <s v="OK"/>
    <s v="OK"/>
    <s v="OK"/>
    <n v="0"/>
    <x v="0"/>
  </r>
  <r>
    <n v="46087"/>
    <s v="E1019"/>
    <s v="Priya King"/>
    <x v="5"/>
    <s v="Marketing Coordinator"/>
    <s v="NY"/>
    <s v="Active"/>
    <n v="80"/>
    <n v="0"/>
    <n v="43.75"/>
    <n v="0"/>
    <n v="3500"/>
    <n v="770"/>
    <n v="185"/>
    <n v="2545"/>
    <n v="185"/>
    <n v="3722.12"/>
    <s v="Clear"/>
    <s v="None"/>
    <n v="0"/>
    <s v="No exception detected"/>
    <s v="OK"/>
    <s v="OK"/>
    <s v="OK"/>
    <s v="OK"/>
    <n v="0"/>
    <x v="0"/>
  </r>
  <r>
    <n v="46087"/>
    <s v="E1020"/>
    <s v="Caleb Martin"/>
    <x v="0"/>
    <s v="Operations Coordinator"/>
    <s v="PA"/>
    <s v="Active"/>
    <n v="80"/>
    <n v="2"/>
    <n v="57.69"/>
    <n v="0"/>
    <n v="4788.45"/>
    <n v="1053.46"/>
    <n v="185"/>
    <n v="3549.99"/>
    <n v="185"/>
    <n v="5101.1499999999996"/>
    <s v="Review"/>
    <s v="Potential state nexus"/>
    <n v="4788.45"/>
    <s v="Needs payroll review before approval"/>
    <s v="OK"/>
    <s v="OK"/>
    <s v="OK"/>
    <s v="OK"/>
    <n v="0"/>
    <x v="0"/>
  </r>
  <r>
    <n v="46087"/>
    <s v="E1021"/>
    <s v="Amara Wilson"/>
    <x v="6"/>
    <s v="Recruiter"/>
    <s v="RI"/>
    <s v="Active"/>
    <n v="80"/>
    <n v="0"/>
    <n v="37.979999999999997"/>
    <n v="250"/>
    <n v="3288.46"/>
    <n v="723.46"/>
    <n v="0"/>
    <n v="2565"/>
    <n v="0"/>
    <n v="3229.55"/>
    <s v="Clear"/>
    <s v="None"/>
    <n v="0"/>
    <s v="No exception detected"/>
    <s v="OK"/>
    <s v="OK"/>
    <s v="OK"/>
    <s v="OK"/>
    <n v="0"/>
    <x v="0"/>
  </r>
  <r>
    <n v="46087"/>
    <s v="E1022"/>
    <s v="Priya Davis"/>
    <x v="7"/>
    <s v="Audit Coordinator"/>
    <s v="IL"/>
    <s v="Terminated"/>
    <n v="80"/>
    <n v="0"/>
    <n v="56.73"/>
    <n v="500"/>
    <n v="5038.46"/>
    <n v="1108.46"/>
    <n v="310"/>
    <n v="3620"/>
    <n v="310"/>
    <n v="4844.57"/>
    <s v="Review"/>
    <s v="Terminated employee paid; Potential state nexus"/>
    <n v="5038.46"/>
    <s v="Needs payroll review before approval"/>
    <s v="OK"/>
    <s v="OK"/>
    <s v="Flag"/>
    <s v="OK"/>
    <n v="1"/>
    <x v="1"/>
  </r>
  <r>
    <n v="46087"/>
    <s v="E1023"/>
    <s v="Amina Smith"/>
    <x v="0"/>
    <s v="Ops Manager"/>
    <s v="MA"/>
    <s v="Active"/>
    <n v="80"/>
    <n v="8"/>
    <n v="38.94"/>
    <n v="500"/>
    <n v="4082.66"/>
    <n v="898.19"/>
    <n v="0"/>
    <n v="3184.47"/>
    <n v="0"/>
    <n v="3465.45"/>
    <s v="Clear"/>
    <s v="None"/>
    <n v="0"/>
    <s v="No exception detected"/>
    <s v="Flag"/>
    <s v="OK"/>
    <s v="OK"/>
    <s v="OK"/>
    <n v="1"/>
    <x v="1"/>
  </r>
  <r>
    <n v="46087"/>
    <s v="E1024"/>
    <s v="Priya Miller"/>
    <x v="1"/>
    <s v="Payroll Analyst"/>
    <s v="NY"/>
    <s v="Active"/>
    <n v="80"/>
    <n v="0"/>
    <n v="45.19"/>
    <n v="0"/>
    <n v="3615.38"/>
    <n v="795.38"/>
    <n v="185"/>
    <n v="2635"/>
    <n v="185"/>
    <n v="4236.99"/>
    <s v="Clear"/>
    <s v="None"/>
    <n v="0"/>
    <s v="No exception detected"/>
    <s v="Flag"/>
    <s v="OK"/>
    <s v="OK"/>
    <s v="OK"/>
    <n v="1"/>
    <x v="1"/>
  </r>
  <r>
    <n v="46087"/>
    <s v="E1025"/>
    <s v="Priya Walker"/>
    <x v="5"/>
    <s v="Marketing Coordinator"/>
    <s v="RI"/>
    <s v="Active"/>
    <n v="80"/>
    <n v="0"/>
    <n v="60.1"/>
    <n v="500"/>
    <n v="5307.69"/>
    <n v="1167.69"/>
    <n v="0"/>
    <n v="4390"/>
    <n v="0"/>
    <n v="5376.02"/>
    <s v="Review"/>
    <s v="Gross-to-net mismatch"/>
    <n v="5307.69"/>
    <s v="Needs payroll review before approval"/>
    <s v="OK"/>
    <s v="OK"/>
    <s v="OK"/>
    <s v="Mismatch"/>
    <n v="1"/>
    <x v="1"/>
  </r>
  <r>
    <n v="46087"/>
    <s v="E1026"/>
    <s v="Wendy Moore"/>
    <x v="5"/>
    <s v="Content Specialist"/>
    <s v="FL"/>
    <s v="Active"/>
    <n v="80"/>
    <n v="8"/>
    <n v="30.77"/>
    <n v="500"/>
    <n v="3330.78"/>
    <n v="732.77"/>
    <n v="0"/>
    <n v="2598.0100000000002"/>
    <n v="0"/>
    <n v="2755.56"/>
    <s v="Review"/>
    <s v="Potential state nexus"/>
    <n v="3330.78"/>
    <s v="Needs payroll review before approval"/>
    <s v="Flag"/>
    <s v="OK"/>
    <s v="OK"/>
    <s v="OK"/>
    <n v="1"/>
    <x v="1"/>
  </r>
  <r>
    <n v="46087"/>
    <s v="E1027"/>
    <s v="Grace Davis"/>
    <x v="7"/>
    <s v="Risk Specialist"/>
    <s v="MA"/>
    <s v="Active"/>
    <n v="80"/>
    <n v="6"/>
    <n v="28.37"/>
    <n v="0"/>
    <n v="2524.56"/>
    <n v="555.4"/>
    <n v="310"/>
    <n v="1659.16"/>
    <n v="310"/>
    <n v="2511.63"/>
    <s v="Clear"/>
    <s v="None"/>
    <n v="0"/>
    <s v="No exception detected"/>
    <s v="OK"/>
    <s v="OK"/>
    <s v="OK"/>
    <s v="OK"/>
    <n v="0"/>
    <x v="0"/>
  </r>
  <r>
    <n v="46087"/>
    <s v="E1028"/>
    <s v="Rosa Jackson"/>
    <x v="3"/>
    <s v="Systems Analyst"/>
    <s v="RI"/>
    <s v="Active"/>
    <n v="80"/>
    <n v="0"/>
    <n v="33.17"/>
    <n v="0"/>
    <n v="2653.85"/>
    <n v="583.85"/>
    <n v="310"/>
    <n v="1760"/>
    <n v="310"/>
    <n v="3013.4"/>
    <s v="Clear"/>
    <s v="None"/>
    <n v="0"/>
    <s v="No exception detected"/>
    <s v="OK"/>
    <s v="OK"/>
    <s v="OK"/>
    <s v="OK"/>
    <n v="0"/>
    <x v="0"/>
  </r>
  <r>
    <n v="46087"/>
    <s v="E1029"/>
    <s v="Amina Smith"/>
    <x v="3"/>
    <s v="Systems Analyst"/>
    <s v="PA"/>
    <s v="Active"/>
    <n v="80"/>
    <n v="4"/>
    <n v="30.77"/>
    <n v="0"/>
    <n v="2646.16"/>
    <n v="582.16"/>
    <n v="185"/>
    <n v="1879"/>
    <n v="185"/>
    <n v="2814.32"/>
    <s v="Review"/>
    <s v="Potential state nexus"/>
    <n v="2646.16"/>
    <s v="Needs payroll review before approval"/>
    <s v="OK"/>
    <s v="OK"/>
    <s v="OK"/>
    <s v="OK"/>
    <n v="0"/>
    <x v="0"/>
  </r>
  <r>
    <n v="46087"/>
    <s v="E1030"/>
    <s v="David Garcia"/>
    <x v="3"/>
    <s v="Systems Analyst"/>
    <s v="GA"/>
    <s v="Active"/>
    <n v="80"/>
    <n v="2"/>
    <n v="54.33"/>
    <n v="0"/>
    <n v="4509.1400000000003"/>
    <n v="992.01"/>
    <n v="185"/>
    <n v="3332.13"/>
    <n v="185"/>
    <n v="4539.88"/>
    <s v="Review"/>
    <s v="Potential state nexus"/>
    <n v="4509.1400000000003"/>
    <s v="Needs payroll review before approval"/>
    <s v="OK"/>
    <s v="OK"/>
    <s v="OK"/>
    <s v="OK"/>
    <n v="0"/>
    <x v="0"/>
  </r>
  <r>
    <n v="46087"/>
    <s v="E1031"/>
    <s v="Leo Lewis"/>
    <x v="7"/>
    <s v="Compliance Analyst"/>
    <s v="GA"/>
    <s v="Active"/>
    <n v="80"/>
    <n v="0"/>
    <n v="52.88"/>
    <n v="0"/>
    <n v="4230.7700000000004"/>
    <n v="930.77"/>
    <n v="310"/>
    <n v="2990"/>
    <n v="310"/>
    <n v="4602.6499999999996"/>
    <s v="Review"/>
    <s v="Potential state nexus"/>
    <n v="4230.7700000000004"/>
    <s v="Needs payroll review before approval"/>
    <s v="OK"/>
    <s v="OK"/>
    <s v="OK"/>
    <s v="OK"/>
    <n v="0"/>
    <x v="0"/>
  </r>
  <r>
    <n v="46087"/>
    <s v="E1032"/>
    <s v="Ruby Perez"/>
    <x v="5"/>
    <s v="Marketing Coordinator"/>
    <s v="FL"/>
    <s v="Active"/>
    <n v="80"/>
    <n v="6"/>
    <n v="37.979999999999997"/>
    <n v="0"/>
    <n v="3380.28"/>
    <n v="743.66"/>
    <n v="185"/>
    <n v="2451.62"/>
    <n v="185"/>
    <n v="3376.91"/>
    <s v="Review"/>
    <s v="Potential state nexus"/>
    <n v="3380.28"/>
    <s v="Needs payroll review before approval"/>
    <s v="OK"/>
    <s v="OK"/>
    <s v="OK"/>
    <s v="OK"/>
    <n v="0"/>
    <x v="0"/>
  </r>
  <r>
    <n v="46087"/>
    <s v="E1033"/>
    <s v="Ava Wright"/>
    <x v="1"/>
    <s v="Accounting Specialist"/>
    <s v="FL"/>
    <s v="Active"/>
    <n v="80"/>
    <n v="0"/>
    <n v="27.88"/>
    <n v="0"/>
    <n v="2230.77"/>
    <n v="490.77"/>
    <n v="0"/>
    <n v="1740"/>
    <n v="0"/>
    <n v="2676.03"/>
    <s v="Review"/>
    <s v="Potential state nexus"/>
    <n v="2230.77"/>
    <s v="Needs payroll review before approval"/>
    <s v="OK"/>
    <s v="OK"/>
    <s v="OK"/>
    <s v="OK"/>
    <n v="0"/>
    <x v="0"/>
  </r>
  <r>
    <n v="46087"/>
    <s v="E1034"/>
    <s v="Esther Sanchez"/>
    <x v="6"/>
    <s v="HR Generalist"/>
    <s v="RI"/>
    <s v="Active"/>
    <n v="80"/>
    <n v="8"/>
    <n v="36.06"/>
    <n v="4000"/>
    <n v="7317.34"/>
    <n v="1609.81"/>
    <n v="185"/>
    <n v="5522.53"/>
    <n v="185"/>
    <n v="3481.93"/>
    <s v="Review"/>
    <s v="Pay spike/drop"/>
    <n v="7317.34"/>
    <s v="Needs payroll review before approval"/>
    <s v="Flag"/>
    <s v="OK"/>
    <s v="OK"/>
    <s v="OK"/>
    <n v="1"/>
    <x v="1"/>
  </r>
  <r>
    <n v="46087"/>
    <s v="E1035"/>
    <s v="Chika White"/>
    <x v="3"/>
    <s v="IT Support"/>
    <s v="NY"/>
    <s v="Active"/>
    <n v="80"/>
    <n v="6"/>
    <n v="39.9"/>
    <n v="0"/>
    <n v="3551.41"/>
    <n v="781.31"/>
    <n v="0"/>
    <n v="2770.1"/>
    <n v="0"/>
    <n v="3476.36"/>
    <s v="Clear"/>
    <s v="None"/>
    <n v="0"/>
    <s v="No exception detected"/>
    <s v="OK"/>
    <s v="OK"/>
    <s v="OK"/>
    <s v="OK"/>
    <n v="0"/>
    <x v="0"/>
  </r>
  <r>
    <n v="46087"/>
    <s v="E1036"/>
    <s v="Nadia Sanchez"/>
    <x v="0"/>
    <s v="Ops Manager"/>
    <s v="NH"/>
    <s v="Active"/>
    <n v="80"/>
    <n v="2"/>
    <n v="56.73"/>
    <n v="500"/>
    <n v="5208.6499999999996"/>
    <n v="1145.9000000000001"/>
    <n v="310"/>
    <n v="3752.75"/>
    <n v="310"/>
    <n v="5130.5600000000004"/>
    <s v="Clear"/>
    <s v="None"/>
    <n v="0"/>
    <s v="No exception detected"/>
    <s v="OK"/>
    <s v="OK"/>
    <s v="OK"/>
    <s v="OK"/>
    <n v="0"/>
    <x v="0"/>
  </r>
  <r>
    <n v="46087"/>
    <s v="E1037"/>
    <s v="Noah Anderson"/>
    <x v="2"/>
    <s v="Support Rep"/>
    <s v="CA"/>
    <s v="Active"/>
    <n v="80"/>
    <n v="0"/>
    <n v="32.69"/>
    <n v="250"/>
    <n v="2865.38"/>
    <n v="630.38"/>
    <n v="0"/>
    <n v="2235"/>
    <n v="0"/>
    <n v="2956.12"/>
    <s v="Review"/>
    <s v="Potential state nexus"/>
    <n v="2865.38"/>
    <s v="Needs payroll review before approval"/>
    <s v="OK"/>
    <s v="OK"/>
    <s v="OK"/>
    <s v="OK"/>
    <n v="0"/>
    <x v="0"/>
  </r>
  <r>
    <n v="46087"/>
    <s v="E1038"/>
    <s v="Nadia Lee"/>
    <x v="0"/>
    <s v="Operations Coordinator"/>
    <s v="PA"/>
    <s v="Active"/>
    <n v="80"/>
    <n v="0"/>
    <n v="30.77"/>
    <n v="250"/>
    <n v="2711.54"/>
    <n v="596.54"/>
    <n v="185"/>
    <n v="1930"/>
    <n v="185"/>
    <n v="2806.5"/>
    <s v="Review"/>
    <s v="Potential state nexus"/>
    <n v="2711.54"/>
    <s v="Needs payroll review before approval"/>
    <s v="OK"/>
    <s v="OK"/>
    <s v="OK"/>
    <s v="OK"/>
    <n v="0"/>
    <x v="0"/>
  </r>
  <r>
    <n v="46087"/>
    <s v="E1039"/>
    <s v="Kemi Jackson"/>
    <x v="4"/>
    <s v="Account Executive"/>
    <s v="IL"/>
    <s v="Active"/>
    <n v="80"/>
    <n v="0"/>
    <n v="39.9"/>
    <n v="500"/>
    <n v="3692.31"/>
    <n v="812.31"/>
    <n v="310"/>
    <n v="2570"/>
    <n v="310"/>
    <n v="3438.99"/>
    <s v="Review"/>
    <s v="Potential state nexus"/>
    <n v="3692.31"/>
    <s v="Needs payroll review before approval"/>
    <s v="OK"/>
    <s v="OK"/>
    <s v="OK"/>
    <s v="OK"/>
    <n v="0"/>
    <x v="0"/>
  </r>
  <r>
    <n v="46087"/>
    <s v="E1040"/>
    <s v="Ife Miller"/>
    <x v="4"/>
    <s v="Sales Manager"/>
    <s v="RI"/>
    <s v="Active"/>
    <n v="80"/>
    <n v="8"/>
    <n v="58.65"/>
    <n v="0"/>
    <n v="5396.11"/>
    <n v="1187.1400000000001"/>
    <n v="310"/>
    <n v="3898.97"/>
    <n v="310"/>
    <n v="4833.9799999999996"/>
    <s v="Clear"/>
    <s v="None"/>
    <n v="0"/>
    <s v="No exception detected"/>
    <s v="Flag"/>
    <s v="OK"/>
    <s v="OK"/>
    <s v="OK"/>
    <n v="1"/>
    <x v="1"/>
  </r>
  <r>
    <n v="46087"/>
    <s v="E1041"/>
    <s v="Nadia Clark"/>
    <x v="0"/>
    <s v="Operations Coordinator"/>
    <s v="RI"/>
    <s v="Active"/>
    <n v="80"/>
    <n v="0"/>
    <n v="41.35"/>
    <n v="250"/>
    <n v="3557.69"/>
    <n v="782.69"/>
    <n v="310"/>
    <n v="2465"/>
    <n v="310"/>
    <n v="3838.22"/>
    <s v="Clear"/>
    <s v="None"/>
    <n v="0"/>
    <s v="No exception detected"/>
    <s v="OK"/>
    <s v="OK"/>
    <s v="OK"/>
    <s v="OK"/>
    <n v="0"/>
    <x v="0"/>
  </r>
  <r>
    <n v="46087"/>
    <s v="E1042"/>
    <s v="Fatima Harris"/>
    <x v="2"/>
    <s v="Support Rep"/>
    <s v="CA"/>
    <s v="Active"/>
    <n v="80"/>
    <n v="4"/>
    <n v="54.81"/>
    <n v="0"/>
    <n v="4713.4799999999996"/>
    <n v="1036.97"/>
    <n v="310"/>
    <n v="3366.51"/>
    <n v="310"/>
    <n v="4986.33"/>
    <s v="Review"/>
    <s v="Potential state nexus"/>
    <n v="4713.4799999999996"/>
    <s v="Needs payroll review before approval"/>
    <s v="OK"/>
    <s v="OK"/>
    <s v="OK"/>
    <s v="OK"/>
    <n v="0"/>
    <x v="0"/>
  </r>
  <r>
    <n v="46087"/>
    <s v="E1043"/>
    <s v="Kemi Lewis"/>
    <x v="7"/>
    <s v="Risk Specialist"/>
    <s v="MA"/>
    <s v="Active"/>
    <n v="80"/>
    <n v="2"/>
    <n v="45.19"/>
    <n v="500"/>
    <n v="4250.95"/>
    <n v="935.21"/>
    <n v="185"/>
    <n v="3130.74"/>
    <n v="185"/>
    <n v="4038.95"/>
    <s v="Clear"/>
    <s v="None"/>
    <n v="0"/>
    <s v="No exception detected"/>
    <s v="OK"/>
    <s v="OK"/>
    <s v="OK"/>
    <s v="OK"/>
    <n v="0"/>
    <x v="0"/>
  </r>
  <r>
    <n v="46087"/>
    <s v="E1044"/>
    <s v="Leo King"/>
    <x v="5"/>
    <s v="Growth Analyst"/>
    <s v="GA"/>
    <s v="Active"/>
    <n v="80"/>
    <n v="0"/>
    <n v="25.48"/>
    <n v="0"/>
    <n v="2038.46"/>
    <n v="448.46"/>
    <n v="185"/>
    <n v="1405"/>
    <n v="185"/>
    <n v="2294.73"/>
    <s v="Review"/>
    <s v="Potential state nexus"/>
    <n v="2038.46"/>
    <s v="Needs payroll review before approval"/>
    <s v="OK"/>
    <s v="OK"/>
    <s v="OK"/>
    <s v="OK"/>
    <n v="0"/>
    <x v="0"/>
  </r>
  <r>
    <n v="46087"/>
    <s v="E1045"/>
    <s v="Daniel Williams"/>
    <x v="6"/>
    <s v="Benefits Specialist"/>
    <s v="MA"/>
    <s v="Active"/>
    <n v="80"/>
    <n v="28"/>
    <n v="60.58"/>
    <n v="0"/>
    <n v="7390.51"/>
    <n v="1625.91"/>
    <n v="0"/>
    <n v="5764.6"/>
    <n v="0"/>
    <n v="5226"/>
    <s v="Review"/>
    <s v="Overtime threshold; Pay spike/drop"/>
    <n v="7390.51"/>
    <s v="Needs payroll review before approval"/>
    <s v="Flag"/>
    <s v="Flag"/>
    <s v="OK"/>
    <s v="OK"/>
    <n v="2"/>
    <x v="2"/>
  </r>
  <r>
    <n v="46087"/>
    <s v="E1046"/>
    <s v="Caleb Brown"/>
    <x v="1"/>
    <s v="Financial Analyst"/>
    <s v="IL"/>
    <s v="Active"/>
    <n v="80"/>
    <n v="8"/>
    <n v="46.63"/>
    <n v="0"/>
    <n v="4290.33"/>
    <n v="943.87"/>
    <n v="185"/>
    <n v="3161.46"/>
    <n v="185"/>
    <n v="3938.37"/>
    <s v="Review"/>
    <s v="Potential state nexus"/>
    <n v="4290.33"/>
    <s v="Needs payroll review before approval"/>
    <s v="OK"/>
    <s v="OK"/>
    <s v="OK"/>
    <s v="OK"/>
    <n v="0"/>
    <x v="0"/>
  </r>
  <r>
    <n v="46087"/>
    <s v="E1047"/>
    <s v="Maya Okafor"/>
    <x v="2"/>
    <s v="Support Lead"/>
    <s v="GA"/>
    <s v="Active"/>
    <n v="80"/>
    <n v="6"/>
    <n v="39.42"/>
    <n v="500"/>
    <n v="4008.63"/>
    <n v="881.9"/>
    <n v="185"/>
    <n v="2941.73"/>
    <n v="185"/>
    <n v="3711.33"/>
    <s v="Review"/>
    <s v="Potential state nexus"/>
    <n v="4008.63"/>
    <s v="Needs payroll review before approval"/>
    <s v="OK"/>
    <s v="OK"/>
    <s v="OK"/>
    <s v="OK"/>
    <n v="0"/>
    <x v="0"/>
  </r>
  <r>
    <n v="46087"/>
    <s v="E1048"/>
    <s v="Leo Brown"/>
    <x v="6"/>
    <s v="Benefits Specialist"/>
    <s v="IL"/>
    <s v="Active"/>
    <n v="80"/>
    <n v="0"/>
    <n v="39.9"/>
    <n v="0"/>
    <n v="3192.31"/>
    <n v="702.31"/>
    <n v="310"/>
    <n v="2180"/>
    <n v="310"/>
    <n v="3604.12"/>
    <s v="Review"/>
    <s v="Potential state nexus"/>
    <n v="3192.31"/>
    <s v="Needs payroll review before approval"/>
    <s v="OK"/>
    <s v="OK"/>
    <s v="OK"/>
    <s v="OK"/>
    <n v="0"/>
    <x v="0"/>
  </r>
  <r>
    <n v="46087"/>
    <s v="E1049"/>
    <s v="Tanya Young"/>
    <x v="7"/>
    <s v="Compliance Analyst"/>
    <s v="PA"/>
    <s v="Active"/>
    <n v="80"/>
    <n v="2"/>
    <n v="37.020000000000003"/>
    <n v="0"/>
    <n v="3072.6"/>
    <n v="675.97"/>
    <n v="310"/>
    <n v="2086.63"/>
    <n v="310"/>
    <n v="3250.7"/>
    <s v="Review"/>
    <s v="Potential state nexus"/>
    <n v="3072.6"/>
    <s v="Needs payroll review before approval"/>
    <s v="OK"/>
    <s v="OK"/>
    <s v="OK"/>
    <s v="OK"/>
    <n v="0"/>
    <x v="0"/>
  </r>
  <r>
    <n v="46087"/>
    <s v="E1050"/>
    <s v="Esther Robinson"/>
    <x v="3"/>
    <s v="Systems Analyst"/>
    <s v="MA"/>
    <s v="Active"/>
    <n v="80"/>
    <n v="0"/>
    <n v="49.52"/>
    <n v="0"/>
    <n v="3961.54"/>
    <n v="871.54"/>
    <n v="310"/>
    <n v="2780"/>
    <n v="310"/>
    <n v="4316.21"/>
    <s v="Clear"/>
    <s v="None"/>
    <n v="0"/>
    <s v="No exception detected"/>
    <s v="OK"/>
    <s v="OK"/>
    <s v="OK"/>
    <s v="OK"/>
    <n v="0"/>
    <x v="0"/>
  </r>
  <r>
    <n v="46087"/>
    <s v="E1051"/>
    <s v="Henry King"/>
    <x v="4"/>
    <s v="Sales Associate"/>
    <s v="RI"/>
    <s v="Active"/>
    <n v="80"/>
    <n v="0"/>
    <n v="57.69"/>
    <n v="0"/>
    <n v="4615.38"/>
    <n v="1015.38"/>
    <n v="310"/>
    <n v="3290"/>
    <n v="310"/>
    <n v="5158.84"/>
    <s v="Clear"/>
    <s v="None"/>
    <n v="0"/>
    <s v="No exception detected"/>
    <s v="Flag"/>
    <s v="OK"/>
    <s v="OK"/>
    <s v="OK"/>
    <n v="1"/>
    <x v="1"/>
  </r>
  <r>
    <n v="46087"/>
    <s v="E1052"/>
    <s v="Daniel Thomas"/>
    <x v="4"/>
    <s v="Account Executive"/>
    <s v="NH"/>
    <s v="Active"/>
    <n v="80"/>
    <n v="8"/>
    <n v="26.92"/>
    <n v="250"/>
    <n v="2726.89"/>
    <n v="599.91999999999996"/>
    <n v="185"/>
    <n v="1941.97"/>
    <n v="185"/>
    <n v="2366.75"/>
    <s v="Clear"/>
    <s v="None"/>
    <n v="0"/>
    <s v="No exception detected"/>
    <s v="OK"/>
    <s v="OK"/>
    <s v="OK"/>
    <s v="OK"/>
    <n v="0"/>
    <x v="0"/>
  </r>
  <r>
    <n v="46087"/>
    <s v="E1053"/>
    <s v="Michael Miller"/>
    <x v="2"/>
    <s v="Customer Success Associate"/>
    <s v="NH"/>
    <s v="Active"/>
    <n v="80"/>
    <n v="0"/>
    <n v="31.73"/>
    <n v="0"/>
    <n v="2538.46"/>
    <n v="558.46"/>
    <n v="310"/>
    <n v="1670"/>
    <n v="310"/>
    <n v="3022.38"/>
    <s v="Clear"/>
    <s v="None"/>
    <n v="0"/>
    <s v="No exception detected"/>
    <s v="OK"/>
    <s v="OK"/>
    <s v="OK"/>
    <s v="OK"/>
    <n v="0"/>
    <x v="0"/>
  </r>
  <r>
    <n v="46087"/>
    <s v="E1054"/>
    <s v="Yara Moore"/>
    <x v="1"/>
    <s v="Accounting Specialist"/>
    <s v="GA"/>
    <s v="Active"/>
    <n v="80"/>
    <n v="0"/>
    <n v="56.73"/>
    <n v="0"/>
    <n v="4538.46"/>
    <n v="998.46"/>
    <n v="0"/>
    <n v="3540"/>
    <n v="0"/>
    <n v="4925.92"/>
    <s v="Review"/>
    <s v="Potential state nexus"/>
    <n v="4538.46"/>
    <s v="Needs payroll review before approval"/>
    <s v="OK"/>
    <s v="OK"/>
    <s v="OK"/>
    <s v="OK"/>
    <n v="0"/>
    <x v="0"/>
  </r>
  <r>
    <n v="46087"/>
    <s v="E1055"/>
    <s v="Ava Wilson"/>
    <x v="0"/>
    <s v="Process Analyst"/>
    <s v="IL"/>
    <s v="Active"/>
    <n v="80"/>
    <n v="2"/>
    <n v="32.21"/>
    <n v="0"/>
    <n v="2673.55"/>
    <n v="588.17999999999995"/>
    <n v="0"/>
    <n v="2085.37"/>
    <n v="0"/>
    <n v="2936.68"/>
    <s v="Review"/>
    <s v="Potential state nexus"/>
    <n v="2673.55"/>
    <s v="Needs payroll review before approval"/>
    <s v="OK"/>
    <s v="OK"/>
    <s v="OK"/>
    <s v="OK"/>
    <n v="0"/>
    <x v="0"/>
  </r>
  <r>
    <n v="46087"/>
    <s v="E1056"/>
    <s v="Maya Sanchez"/>
    <x v="7"/>
    <s v="Risk Specialist"/>
    <s v="GA"/>
    <s v="Active"/>
    <n v="80"/>
    <n v="0"/>
    <n v="58.65"/>
    <n v="0"/>
    <n v="4692.3100000000004"/>
    <n v="1032.31"/>
    <n v="185"/>
    <n v="3475"/>
    <n v="185"/>
    <n v="5422.97"/>
    <s v="Review"/>
    <s v="Potential state nexus"/>
    <n v="4692.3100000000004"/>
    <s v="Needs payroll review before approval"/>
    <s v="Flag"/>
    <s v="OK"/>
    <s v="OK"/>
    <s v="OK"/>
    <n v="1"/>
    <x v="1"/>
  </r>
  <r>
    <n v="46087"/>
    <s v="E1057"/>
    <s v="Amina Wilson"/>
    <x v="7"/>
    <s v="Audit Coordinator"/>
    <s v="TX"/>
    <s v="Active"/>
    <n v="80"/>
    <n v="0"/>
    <n v="43.27"/>
    <n v="250"/>
    <n v="3711.54"/>
    <n v="816.54"/>
    <n v="310"/>
    <n v="2585"/>
    <n v="310"/>
    <n v="3745.61"/>
    <s v="Review"/>
    <s v="Potential state nexus"/>
    <n v="3711.54"/>
    <s v="Needs payroll review before approval"/>
    <s v="OK"/>
    <s v="OK"/>
    <s v="OK"/>
    <s v="OK"/>
    <n v="0"/>
    <x v="0"/>
  </r>
  <r>
    <n v="46087"/>
    <s v="E1058"/>
    <s v="Noah Jackson"/>
    <x v="4"/>
    <s v="Account Executive"/>
    <s v="GA"/>
    <s v="Active"/>
    <n v="80"/>
    <n v="0"/>
    <n v="62.02"/>
    <n v="0"/>
    <n v="4961.54"/>
    <n v="1091.54"/>
    <n v="0"/>
    <n v="3870"/>
    <n v="0"/>
    <n v="5659.72"/>
    <s v="Review"/>
    <s v="Potential state nexus"/>
    <n v="4961.54"/>
    <s v="Needs payroll review before approval"/>
    <s v="Flag"/>
    <s v="OK"/>
    <s v="OK"/>
    <s v="OK"/>
    <n v="1"/>
    <x v="1"/>
  </r>
  <r>
    <n v="46087"/>
    <s v="E1059"/>
    <s v="Caleb Smith"/>
    <x v="5"/>
    <s v="Growth Analyst"/>
    <s v="FL"/>
    <s v="Active"/>
    <n v="80"/>
    <n v="2"/>
    <n v="53.85"/>
    <n v="0"/>
    <n v="4469.24"/>
    <n v="983.23"/>
    <n v="0"/>
    <n v="3486.01"/>
    <n v="0"/>
    <n v="4520.45"/>
    <s v="Review"/>
    <s v="Potential state nexus"/>
    <n v="4469.24"/>
    <s v="Needs payroll review before approval"/>
    <s v="OK"/>
    <s v="OK"/>
    <s v="OK"/>
    <s v="OK"/>
    <n v="0"/>
    <x v="0"/>
  </r>
  <r>
    <n v="46087"/>
    <s v="E1060"/>
    <s v="Omar Walker"/>
    <x v="4"/>
    <s v="Sales Manager"/>
    <s v="NH"/>
    <s v="Terminated"/>
    <n v="80"/>
    <n v="2"/>
    <n v="30.29"/>
    <n v="0"/>
    <n v="2513.9499999999998"/>
    <n v="553.07000000000005"/>
    <n v="185"/>
    <n v="1775.88"/>
    <n v="185"/>
    <n v="2809.02"/>
    <s v="Review"/>
    <s v="Terminated employee paid"/>
    <n v="2513.9499999999998"/>
    <s v="Needs payroll review before approval"/>
    <s v="OK"/>
    <s v="OK"/>
    <s v="Flag"/>
    <s v="OK"/>
    <n v="1"/>
    <x v="1"/>
  </r>
  <r>
    <n v="46087"/>
    <s v="E1061"/>
    <s v="Tobi Smith"/>
    <x v="3"/>
    <s v="Systems Analyst"/>
    <s v="MA"/>
    <s v="Active"/>
    <n v="80"/>
    <n v="8"/>
    <n v="39.9"/>
    <n v="0"/>
    <n v="3671.11"/>
    <n v="807.64"/>
    <n v="310"/>
    <n v="2553.4699999999998"/>
    <n v="310"/>
    <n v="3684.3"/>
    <s v="Clear"/>
    <s v="None"/>
    <n v="0"/>
    <s v="No exception detected"/>
    <s v="OK"/>
    <s v="OK"/>
    <s v="OK"/>
    <s v="OK"/>
    <n v="0"/>
    <x v="0"/>
  </r>
  <r>
    <n v="46087"/>
    <s v="E1062"/>
    <s v="Priya Williams"/>
    <x v="5"/>
    <s v="Content Specialist"/>
    <s v="NH"/>
    <s v="Active"/>
    <n v="80"/>
    <n v="0"/>
    <n v="48.56"/>
    <n v="0"/>
    <n v="3884.62"/>
    <n v="854.62"/>
    <n v="310"/>
    <n v="2720"/>
    <n v="310"/>
    <n v="4103.1099999999997"/>
    <s v="Clear"/>
    <s v="None"/>
    <n v="0"/>
    <s v="No exception detected"/>
    <s v="OK"/>
    <s v="OK"/>
    <s v="OK"/>
    <s v="OK"/>
    <n v="0"/>
    <x v="0"/>
  </r>
  <r>
    <n v="46087"/>
    <s v="E1063"/>
    <s v="Noah Johnson"/>
    <x v="1"/>
    <s v="Payroll Analyst"/>
    <s v="GA"/>
    <s v="Active"/>
    <n v="80"/>
    <n v="8"/>
    <n v="35.58"/>
    <n v="500"/>
    <n v="3773.11"/>
    <n v="830.08"/>
    <n v="0"/>
    <n v="2943.03"/>
    <n v="0"/>
    <n v="3133.01"/>
    <s v="Review"/>
    <s v="Potential state nexus"/>
    <n v="3773.11"/>
    <s v="Needs payroll review before approval"/>
    <s v="Flag"/>
    <s v="OK"/>
    <s v="OK"/>
    <s v="OK"/>
    <n v="1"/>
    <x v="1"/>
  </r>
  <r>
    <n v="46087"/>
    <s v="E1064"/>
    <s v="Logan White"/>
    <x v="3"/>
    <s v="Systems Analyst"/>
    <s v="PA"/>
    <s v="Active"/>
    <n v="80"/>
    <n v="0"/>
    <n v="53.37"/>
    <n v="500"/>
    <n v="4769.2299999999996"/>
    <n v="1049.23"/>
    <n v="0"/>
    <n v="3720"/>
    <n v="0"/>
    <n v="4789.8"/>
    <s v="Review"/>
    <s v="Potential state nexus"/>
    <n v="4769.2299999999996"/>
    <s v="Needs payroll review before approval"/>
    <s v="OK"/>
    <s v="OK"/>
    <s v="OK"/>
    <s v="OK"/>
    <n v="0"/>
    <x v="0"/>
  </r>
  <r>
    <n v="46087"/>
    <s v="E1065"/>
    <s v="Kemi Lewis"/>
    <x v="2"/>
    <s v="Customer Success Associate"/>
    <s v="NH"/>
    <s v="Active"/>
    <n v="80"/>
    <n v="6"/>
    <n v="50.96"/>
    <n v="250"/>
    <n v="4785.5600000000004"/>
    <n v="1052.82"/>
    <n v="0"/>
    <n v="3732.74"/>
    <n v="0"/>
    <n v="4725.47"/>
    <s v="Clear"/>
    <s v="None"/>
    <n v="0"/>
    <s v="No exception detected"/>
    <s v="OK"/>
    <s v="OK"/>
    <s v="OK"/>
    <s v="OK"/>
    <n v="0"/>
    <x v="0"/>
  </r>
  <r>
    <n v="46087"/>
    <s v="E1066"/>
    <s v="Lina Davis"/>
    <x v="5"/>
    <s v="Content Specialist"/>
    <s v="CA"/>
    <s v="Active"/>
    <n v="80"/>
    <n v="0"/>
    <n v="41.83"/>
    <n v="0"/>
    <n v="3346.15"/>
    <n v="736.15"/>
    <n v="0"/>
    <n v="2610"/>
    <n v="0"/>
    <n v="3618.66"/>
    <s v="Review"/>
    <s v="Potential state nexus"/>
    <n v="3346.15"/>
    <s v="Needs payroll review before approval"/>
    <s v="OK"/>
    <s v="OK"/>
    <s v="OK"/>
    <s v="OK"/>
    <n v="0"/>
    <x v="0"/>
  </r>
  <r>
    <n v="46087"/>
    <s v="E1067"/>
    <s v="Uche King"/>
    <x v="4"/>
    <s v="Sales Associate"/>
    <s v="NY"/>
    <s v="Active"/>
    <n v="80"/>
    <n v="8"/>
    <n v="39.42"/>
    <n v="0"/>
    <n v="3626.89"/>
    <n v="797.92"/>
    <n v="310"/>
    <n v="2643.97"/>
    <n v="310"/>
    <n v="3339.17"/>
    <s v="Review"/>
    <s v="Gross-to-net mismatch"/>
    <n v="3626.89"/>
    <s v="Needs payroll review before approval"/>
    <s v="OK"/>
    <s v="OK"/>
    <s v="OK"/>
    <s v="Mismatch"/>
    <n v="1"/>
    <x v="1"/>
  </r>
  <r>
    <n v="46087"/>
    <s v="E1068"/>
    <s v="Amara Martinez"/>
    <x v="0"/>
    <s v="Operations Coordinator"/>
    <s v="TX"/>
    <s v="Active"/>
    <n v="80"/>
    <n v="0"/>
    <n v="48.56"/>
    <n v="500"/>
    <n v="4384.62"/>
    <n v="964.62"/>
    <n v="0"/>
    <n v="3420"/>
    <n v="0"/>
    <n v="4202.43"/>
    <s v="Review"/>
    <s v="Potential state nexus"/>
    <n v="4384.62"/>
    <s v="Needs payroll review before approval"/>
    <s v="OK"/>
    <s v="OK"/>
    <s v="OK"/>
    <s v="OK"/>
    <n v="0"/>
    <x v="0"/>
  </r>
  <r>
    <n v="46087"/>
    <s v="E1069"/>
    <s v="David Martinez"/>
    <x v="0"/>
    <s v="Ops Manager"/>
    <s v="GA"/>
    <s v="Active"/>
    <n v="80"/>
    <n v="0"/>
    <n v="58.17"/>
    <n v="0"/>
    <n v="4653.8500000000004"/>
    <n v="1023.85"/>
    <n v="310"/>
    <n v="3320"/>
    <n v="310"/>
    <n v="4963.5200000000004"/>
    <s v="Review"/>
    <s v="Potential state nexus"/>
    <n v="4653.8500000000004"/>
    <s v="Needs payroll review before approval"/>
    <s v="OK"/>
    <s v="OK"/>
    <s v="OK"/>
    <s v="OK"/>
    <n v="0"/>
    <x v="0"/>
  </r>
  <r>
    <n v="46087"/>
    <s v="E1070"/>
    <s v="Amina Thomas"/>
    <x v="7"/>
    <s v="Risk Specialist"/>
    <s v="NH"/>
    <s v="Active"/>
    <n v="80"/>
    <n v="2"/>
    <n v="60.1"/>
    <n v="250"/>
    <n v="5237.99"/>
    <n v="1152.3599999999999"/>
    <n v="310"/>
    <n v="3775.63"/>
    <n v="310"/>
    <n v="5402.51"/>
    <s v="Clear"/>
    <s v="None"/>
    <n v="0"/>
    <s v="No exception detected"/>
    <s v="OK"/>
    <s v="OK"/>
    <s v="OK"/>
    <s v="OK"/>
    <n v="0"/>
    <x v="0"/>
  </r>
  <r>
    <n v="46087"/>
    <s v="E1071"/>
    <s v="Ethan Davis"/>
    <x v="4"/>
    <s v="Sales Associate"/>
    <s v="GA"/>
    <s v="Active"/>
    <n v="80"/>
    <n v="0"/>
    <n v="58.17"/>
    <n v="500"/>
    <n v="5153.8500000000004"/>
    <n v="1133.8499999999999"/>
    <n v="0"/>
    <n v="4020"/>
    <n v="0"/>
    <n v="5165.62"/>
    <s v="Review"/>
    <s v="Potential state nexus"/>
    <n v="5153.8500000000004"/>
    <s v="Needs payroll review before approval"/>
    <s v="OK"/>
    <s v="OK"/>
    <s v="OK"/>
    <s v="OK"/>
    <n v="0"/>
    <x v="0"/>
  </r>
  <r>
    <n v="46087"/>
    <s v="E1072"/>
    <s v="Kai Garcia"/>
    <x v="4"/>
    <s v="Sales Associate"/>
    <s v="PA"/>
    <s v="Active"/>
    <n v="80"/>
    <n v="0"/>
    <n v="48.56"/>
    <n v="0"/>
    <n v="3884.62"/>
    <n v="854.62"/>
    <n v="310"/>
    <n v="2720"/>
    <n v="310"/>
    <n v="4200.12"/>
    <s v="Review"/>
    <s v="Potential state nexus"/>
    <n v="3884.62"/>
    <s v="Needs payroll review before approval"/>
    <s v="OK"/>
    <s v="OK"/>
    <s v="OK"/>
    <s v="OK"/>
    <n v="0"/>
    <x v="0"/>
  </r>
  <r>
    <n v="46087"/>
    <s v="E1073"/>
    <s v="Ella Sanchez"/>
    <x v="5"/>
    <s v="Marketing Coordinator"/>
    <s v="NH"/>
    <s v="Active"/>
    <n v="80"/>
    <n v="8"/>
    <n v="26.44"/>
    <n v="0"/>
    <n v="2432.66"/>
    <n v="535.19000000000005"/>
    <n v="310"/>
    <n v="1587.47"/>
    <n v="310"/>
    <n v="2511.6999999999998"/>
    <s v="Clear"/>
    <s v="None"/>
    <n v="0"/>
    <s v="No exception detected"/>
    <s v="OK"/>
    <s v="OK"/>
    <s v="OK"/>
    <s v="OK"/>
    <n v="0"/>
    <x v="0"/>
  </r>
  <r>
    <n v="46087"/>
    <s v="E1074"/>
    <s v="Quincy Taylor"/>
    <x v="1"/>
    <s v="Payroll Analyst"/>
    <s v="GA"/>
    <s v="Active"/>
    <n v="80"/>
    <n v="0"/>
    <n v="53.37"/>
    <n v="0"/>
    <n v="4269.2299999999996"/>
    <n v="939.23"/>
    <n v="185"/>
    <n v="3145"/>
    <n v="185"/>
    <n v="4463.24"/>
    <s v="Review"/>
    <s v="Potential state nexus"/>
    <n v="4269.2299999999996"/>
    <s v="Needs payroll review before approval"/>
    <s v="OK"/>
    <s v="OK"/>
    <s v="OK"/>
    <s v="OK"/>
    <n v="0"/>
    <x v="0"/>
  </r>
  <r>
    <n v="46087"/>
    <s v="E1075"/>
    <s v="Sade Young"/>
    <x v="2"/>
    <s v="Support Rep"/>
    <s v="PA"/>
    <s v="Active"/>
    <n v="80"/>
    <n v="8"/>
    <n v="45.67"/>
    <n v="0"/>
    <n v="4201.8900000000003"/>
    <n v="924.42"/>
    <n v="310"/>
    <n v="2967.47"/>
    <n v="310"/>
    <n v="4130.2"/>
    <s v="Review"/>
    <s v="Potential state nexus"/>
    <n v="4201.8900000000003"/>
    <s v="Needs payroll review before approval"/>
    <s v="OK"/>
    <s v="OK"/>
    <s v="OK"/>
    <s v="OK"/>
    <n v="0"/>
    <x v="0"/>
  </r>
  <r>
    <n v="46087"/>
    <s v="E1076"/>
    <s v="David Thomas"/>
    <x v="7"/>
    <s v="Risk Specialist"/>
    <s v="NY"/>
    <s v="Active"/>
    <n v="80"/>
    <n v="4"/>
    <n v="25.96"/>
    <n v="500"/>
    <n v="2732.68"/>
    <n v="601.19000000000005"/>
    <n v="0"/>
    <n v="2131.4899999999998"/>
    <n v="0"/>
    <n v="2386.8000000000002"/>
    <s v="Clear"/>
    <s v="None"/>
    <n v="0"/>
    <s v="No exception detected"/>
    <s v="OK"/>
    <s v="OK"/>
    <s v="OK"/>
    <s v="OK"/>
    <n v="0"/>
    <x v="0"/>
  </r>
  <r>
    <n v="46087"/>
    <s v="E1077"/>
    <s v="Brian White"/>
    <x v="3"/>
    <s v="Data Engineer"/>
    <s v="NY"/>
    <s v="Active"/>
    <n v="80"/>
    <n v="4"/>
    <n v="26.44"/>
    <n v="2500"/>
    <n v="4774.0200000000004"/>
    <n v="1050.28"/>
    <n v="185"/>
    <n v="3538.74"/>
    <n v="185"/>
    <n v="2399.14"/>
    <s v="Review"/>
    <s v="Pay spike/drop"/>
    <n v="4774.0200000000004"/>
    <s v="Needs payroll review before approval"/>
    <s v="Flag"/>
    <s v="OK"/>
    <s v="OK"/>
    <s v="OK"/>
    <n v="1"/>
    <x v="1"/>
  </r>
  <r>
    <n v="46087"/>
    <s v="E1078"/>
    <s v="Noah Clark"/>
    <x v="6"/>
    <s v="HR Generalist"/>
    <s v="TX"/>
    <s v="Active"/>
    <n v="80"/>
    <n v="2"/>
    <n v="31.73"/>
    <n v="0"/>
    <n v="2633.65"/>
    <n v="579.4"/>
    <n v="0"/>
    <n v="2054.25"/>
    <n v="0"/>
    <n v="2682.99"/>
    <s v="Review"/>
    <s v="Potential state nexus"/>
    <n v="2633.65"/>
    <s v="Needs payroll review before approval"/>
    <s v="OK"/>
    <s v="OK"/>
    <s v="OK"/>
    <s v="OK"/>
    <n v="0"/>
    <x v="0"/>
  </r>
  <r>
    <n v="46087"/>
    <s v="E1079"/>
    <s v="Jayden Okafor"/>
    <x v="4"/>
    <s v="Sales Associate"/>
    <s v="TX"/>
    <s v="Active"/>
    <n v="80"/>
    <n v="8"/>
    <n v="34.619999999999997"/>
    <n v="0"/>
    <n v="3184.67"/>
    <n v="700.63"/>
    <n v="310"/>
    <n v="2174.04"/>
    <n v="310"/>
    <n v="3323.43"/>
    <s v="Review"/>
    <s v="Potential state nexus"/>
    <n v="3184.67"/>
    <s v="Needs payroll review before approval"/>
    <s v="OK"/>
    <s v="OK"/>
    <s v="OK"/>
    <s v="OK"/>
    <n v="0"/>
    <x v="0"/>
  </r>
  <r>
    <n v="46087"/>
    <s v="E1080"/>
    <s v="Leo Young"/>
    <x v="4"/>
    <s v="Sales Manager"/>
    <s v="GA"/>
    <s v="Active"/>
    <n v="80"/>
    <n v="0"/>
    <n v="37.020000000000003"/>
    <n v="0"/>
    <n v="2961.54"/>
    <n v="651.54"/>
    <n v="185"/>
    <n v="2125"/>
    <n v="185"/>
    <n v="3391.36"/>
    <s v="Review"/>
    <s v="Potential state nexus"/>
    <n v="2961.54"/>
    <s v="Needs payroll review before approval"/>
    <s v="OK"/>
    <s v="OK"/>
    <s v="OK"/>
    <s v="OK"/>
    <n v="0"/>
    <x v="0"/>
  </r>
  <r>
    <n v="46087"/>
    <s v="E1081"/>
    <s v="Mia Moore"/>
    <x v="3"/>
    <s v="Systems Analyst"/>
    <s v="CA"/>
    <s v="Active"/>
    <n v="80"/>
    <n v="0"/>
    <n v="59.62"/>
    <n v="0"/>
    <n v="4769.2299999999996"/>
    <n v="1049.23"/>
    <n v="185"/>
    <n v="3535"/>
    <n v="185"/>
    <n v="5322.43"/>
    <s v="Review"/>
    <s v="Potential state nexus"/>
    <n v="4769.2299999999996"/>
    <s v="Needs payroll review before approval"/>
    <s v="Flag"/>
    <s v="OK"/>
    <s v="OK"/>
    <s v="OK"/>
    <n v="1"/>
    <x v="1"/>
  </r>
  <r>
    <n v="46087"/>
    <s v="E1082"/>
    <s v="Grace Moore"/>
    <x v="2"/>
    <s v="Support Rep"/>
    <s v="RI"/>
    <s v="Active"/>
    <n v="80"/>
    <n v="0"/>
    <n v="25.48"/>
    <n v="0"/>
    <n v="2038.46"/>
    <n v="448.46"/>
    <n v="310"/>
    <n v="1280"/>
    <n v="310"/>
    <n v="2289.6799999999998"/>
    <s v="Clear"/>
    <s v="None"/>
    <n v="0"/>
    <s v="No exception detected"/>
    <s v="OK"/>
    <s v="OK"/>
    <s v="OK"/>
    <s v="OK"/>
    <n v="0"/>
    <x v="0"/>
  </r>
  <r>
    <n v="46087"/>
    <s v="E1083"/>
    <s v="Ivy Miller"/>
    <x v="2"/>
    <s v="Support Lead"/>
    <s v="PA"/>
    <s v="Active"/>
    <n v="80"/>
    <n v="8"/>
    <n v="51.44"/>
    <n v="0"/>
    <n v="4732.66"/>
    <n v="1041.19"/>
    <n v="185"/>
    <n v="3506.47"/>
    <n v="185"/>
    <n v="4564.1000000000004"/>
    <s v="Review"/>
    <s v="Potential state nexus"/>
    <n v="4732.66"/>
    <s v="Needs payroll review before approval"/>
    <s v="OK"/>
    <s v="OK"/>
    <s v="OK"/>
    <s v="OK"/>
    <n v="0"/>
    <x v="0"/>
  </r>
  <r>
    <n v="46087"/>
    <s v="E1084"/>
    <s v="Rosa King"/>
    <x v="5"/>
    <s v="Content Specialist"/>
    <s v="GA"/>
    <s v="Active"/>
    <n v="80"/>
    <n v="0"/>
    <n v="44.71"/>
    <n v="500"/>
    <n v="4076.92"/>
    <n v="896.92"/>
    <n v="185"/>
    <n v="2995"/>
    <n v="185"/>
    <n v="3819.88"/>
    <s v="Review"/>
    <s v="Potential state nexus"/>
    <n v="4076.92"/>
    <s v="Needs payroll review before approval"/>
    <s v="OK"/>
    <s v="OK"/>
    <s v="OK"/>
    <s v="OK"/>
    <n v="0"/>
    <x v="0"/>
  </r>
  <r>
    <n v="46087"/>
    <s v="E1085"/>
    <s v="Victor Okafor"/>
    <x v="5"/>
    <s v="Marketing Coordinator"/>
    <s v="PA"/>
    <s v="Active"/>
    <n v="80"/>
    <n v="6"/>
    <n v="62.5"/>
    <n v="500"/>
    <n v="6062.5"/>
    <n v="1333.75"/>
    <n v="0"/>
    <n v="4728.75"/>
    <n v="0"/>
    <n v="5041.28"/>
    <s v="Review"/>
    <s v="Pay spike/drop; Potential state nexus"/>
    <n v="6062.5"/>
    <s v="Needs payroll review before approval"/>
    <s v="Flag"/>
    <s v="OK"/>
    <s v="OK"/>
    <s v="OK"/>
    <n v="1"/>
    <x v="1"/>
  </r>
  <r>
    <n v="46087"/>
    <s v="E1086"/>
    <s v="Victor Miller"/>
    <x v="5"/>
    <s v="Content Specialist"/>
    <s v="TX"/>
    <s v="Active"/>
    <n v="80"/>
    <n v="0"/>
    <n v="37.979999999999997"/>
    <n v="250"/>
    <n v="3288.46"/>
    <n v="723.46"/>
    <n v="310"/>
    <n v="2255"/>
    <n v="310"/>
    <n v="3395.16"/>
    <s v="Review"/>
    <s v="Potential state nexus"/>
    <n v="3288.46"/>
    <s v="Needs payroll review before approval"/>
    <s v="OK"/>
    <s v="OK"/>
    <s v="OK"/>
    <s v="OK"/>
    <n v="0"/>
    <x v="0"/>
  </r>
  <r>
    <n v="46087"/>
    <s v="E1087"/>
    <s v="Kai Moore"/>
    <x v="4"/>
    <s v="Sales Manager"/>
    <s v="MA"/>
    <s v="Active"/>
    <n v="80"/>
    <n v="4"/>
    <n v="36.54"/>
    <n v="0"/>
    <n v="3142.32"/>
    <n v="691.31"/>
    <n v="185"/>
    <n v="2266.0100000000002"/>
    <n v="185"/>
    <n v="3468.59"/>
    <s v="Clear"/>
    <s v="None"/>
    <n v="0"/>
    <s v="No exception detected"/>
    <s v="OK"/>
    <s v="OK"/>
    <s v="OK"/>
    <s v="OK"/>
    <n v="0"/>
    <x v="0"/>
  </r>
  <r>
    <n v="46087"/>
    <s v="E1088"/>
    <s v="Fatima Wilson"/>
    <x v="5"/>
    <s v="Growth Analyst"/>
    <s v="FL"/>
    <s v="Active"/>
    <n v="80"/>
    <n v="8"/>
    <n v="54.81"/>
    <n v="0"/>
    <n v="5042.34"/>
    <n v="1109.31"/>
    <n v="0"/>
    <n v="3933.03"/>
    <n v="310"/>
    <n v="4864.53"/>
    <s v="Review"/>
    <s v="Missing deduction; Potential state nexus"/>
    <n v="5042.34"/>
    <s v="Needs payroll review before approval"/>
    <s v="OK"/>
    <s v="OK"/>
    <s v="OK"/>
    <s v="OK"/>
    <n v="0"/>
    <x v="0"/>
  </r>
  <r>
    <n v="46087"/>
    <s v="E1089"/>
    <s v="Logan Lee"/>
    <x v="3"/>
    <s v="IT Support"/>
    <s v="FL"/>
    <s v="Active"/>
    <n v="80"/>
    <n v="0"/>
    <n v="60.58"/>
    <n v="0"/>
    <n v="4846.1499999999996"/>
    <n v="1066.1500000000001"/>
    <n v="310"/>
    <n v="3470"/>
    <n v="310"/>
    <n v="5223.76"/>
    <s v="Review"/>
    <s v="Potential state nexus"/>
    <n v="4846.1499999999996"/>
    <s v="Needs payroll review before approval"/>
    <s v="OK"/>
    <s v="OK"/>
    <s v="OK"/>
    <s v="OK"/>
    <n v="0"/>
    <x v="0"/>
  </r>
  <r>
    <n v="46087"/>
    <s v="E1090"/>
    <s v="Rosa Wilson"/>
    <x v="2"/>
    <s v="Customer Success Associate"/>
    <s v="IL"/>
    <s v="Active"/>
    <n v="80"/>
    <n v="0"/>
    <n v="46.63"/>
    <n v="500"/>
    <n v="4230.7700000000004"/>
    <n v="930.77"/>
    <n v="0"/>
    <n v="3300"/>
    <n v="0"/>
    <n v="4312.34"/>
    <s v="Review"/>
    <s v="Potential state nexus"/>
    <n v="4230.7700000000004"/>
    <s v="Needs payroll review before approval"/>
    <s v="OK"/>
    <s v="OK"/>
    <s v="OK"/>
    <s v="OK"/>
    <n v="0"/>
    <x v="0"/>
  </r>
  <r>
    <n v="46087"/>
    <s v="E1091"/>
    <s v="Sade Clark"/>
    <x v="4"/>
    <s v="Account Executive"/>
    <s v="NY"/>
    <s v="Active"/>
    <n v="80"/>
    <n v="8"/>
    <n v="44.23"/>
    <n v="0"/>
    <n v="4069.22"/>
    <n v="895.23"/>
    <n v="185"/>
    <n v="2988.99"/>
    <n v="185"/>
    <n v="3988.69"/>
    <s v="Clear"/>
    <s v="None"/>
    <n v="0"/>
    <s v="No exception detected"/>
    <s v="OK"/>
    <s v="OK"/>
    <s v="OK"/>
    <s v="OK"/>
    <n v="0"/>
    <x v="0"/>
  </r>
  <r>
    <n v="46087"/>
    <s v="E1092"/>
    <s v="Sade Lee"/>
    <x v="6"/>
    <s v="HR Generalist"/>
    <s v="FL"/>
    <s v="Active"/>
    <n v="80"/>
    <n v="0"/>
    <n v="41.83"/>
    <n v="0"/>
    <n v="3346.15"/>
    <n v="736.15"/>
    <n v="0"/>
    <n v="2610"/>
    <n v="0"/>
    <n v="3784.57"/>
    <s v="Review"/>
    <s v="Potential state nexus"/>
    <n v="3346.15"/>
    <s v="Needs payroll review before approval"/>
    <s v="OK"/>
    <s v="OK"/>
    <s v="OK"/>
    <s v="OK"/>
    <n v="0"/>
    <x v="0"/>
  </r>
  <r>
    <n v="46087"/>
    <s v="E1093"/>
    <s v="Tanya Okafor"/>
    <x v="4"/>
    <s v="Account Executive"/>
    <s v="FL"/>
    <s v="Active"/>
    <n v="80"/>
    <n v="0"/>
    <n v="38.94"/>
    <n v="0"/>
    <n v="3115.38"/>
    <n v="685.38"/>
    <n v="310"/>
    <n v="2120"/>
    <n v="310"/>
    <n v="3681.36"/>
    <s v="Review"/>
    <s v="Potential state nexus"/>
    <n v="3115.38"/>
    <s v="Needs payroll review before approval"/>
    <s v="Flag"/>
    <s v="OK"/>
    <s v="OK"/>
    <s v="OK"/>
    <n v="1"/>
    <x v="1"/>
  </r>
  <r>
    <n v="46087"/>
    <s v="E1094"/>
    <s v="Lina Allen"/>
    <x v="6"/>
    <s v="Recruiter"/>
    <s v="MA"/>
    <s v="Active"/>
    <n v="80"/>
    <n v="2"/>
    <n v="58.65"/>
    <n v="0"/>
    <n v="4868.26"/>
    <n v="1071.02"/>
    <n v="310"/>
    <n v="3487.24"/>
    <n v="310"/>
    <n v="4920.12"/>
    <s v="Clear"/>
    <s v="None"/>
    <n v="0"/>
    <s v="No exception detected"/>
    <s v="OK"/>
    <s v="OK"/>
    <s v="OK"/>
    <s v="OK"/>
    <n v="0"/>
    <x v="0"/>
  </r>
  <r>
    <n v="46087"/>
    <s v="E1095"/>
    <s v="Sophia Anderson"/>
    <x v="5"/>
    <s v="Marketing Coordinator"/>
    <s v="MA"/>
    <s v="Active"/>
    <n v="80"/>
    <n v="0"/>
    <n v="42.31"/>
    <n v="250"/>
    <n v="3634.62"/>
    <n v="799.62"/>
    <n v="310"/>
    <n v="2525"/>
    <n v="310"/>
    <n v="3717.1"/>
    <s v="Clear"/>
    <s v="None"/>
    <n v="0"/>
    <s v="No exception detected"/>
    <s v="OK"/>
    <s v="OK"/>
    <s v="OK"/>
    <s v="OK"/>
    <n v="0"/>
    <x v="0"/>
  </r>
  <r>
    <n v="46087"/>
    <s v="E1096"/>
    <s v="Ethan Smith"/>
    <x v="6"/>
    <s v="HR Generalist"/>
    <s v="CA"/>
    <s v="Active"/>
    <n v="80"/>
    <n v="2"/>
    <n v="31.73"/>
    <n v="500"/>
    <n v="3133.65"/>
    <n v="689.4"/>
    <n v="185"/>
    <n v="2259.25"/>
    <n v="185"/>
    <n v="2726.47"/>
    <s v="Review"/>
    <s v="Potential state nexus"/>
    <n v="3133.65"/>
    <s v="Needs payroll review before approval"/>
    <s v="OK"/>
    <s v="OK"/>
    <s v="OK"/>
    <s v="OK"/>
    <n v="0"/>
    <x v="0"/>
  </r>
  <r>
    <n v="46087"/>
    <s v="E1097"/>
    <s v="Henry Perez"/>
    <x v="1"/>
    <s v="Payroll Analyst"/>
    <s v="TX"/>
    <s v="Active"/>
    <n v="80"/>
    <n v="2"/>
    <n v="43.27"/>
    <n v="0"/>
    <n v="3591.35"/>
    <n v="790.1"/>
    <n v="185"/>
    <n v="2616.25"/>
    <n v="185"/>
    <n v="3877.66"/>
    <s v="Review"/>
    <s v="Potential state nexus"/>
    <n v="3591.35"/>
    <s v="Needs payroll review before approval"/>
    <s v="OK"/>
    <s v="OK"/>
    <s v="OK"/>
    <s v="OK"/>
    <n v="0"/>
    <x v="0"/>
  </r>
  <r>
    <n v="46087"/>
    <s v="E1098"/>
    <s v="Sophia Wilson"/>
    <x v="7"/>
    <s v="Audit Coordinator"/>
    <s v="NH"/>
    <s v="Active"/>
    <n v="80"/>
    <n v="0"/>
    <n v="56.73"/>
    <n v="0"/>
    <n v="4538.46"/>
    <n v="998.46"/>
    <n v="310"/>
    <n v="3230"/>
    <n v="310"/>
    <n v="4787.2700000000004"/>
    <s v="Clear"/>
    <s v="None"/>
    <n v="0"/>
    <s v="No exception detected"/>
    <s v="OK"/>
    <s v="OK"/>
    <s v="OK"/>
    <s v="OK"/>
    <n v="0"/>
    <x v="0"/>
  </r>
  <r>
    <n v="46087"/>
    <s v="E1099"/>
    <s v="Sade Martinez"/>
    <x v="7"/>
    <s v="Risk Specialist"/>
    <s v="NH"/>
    <s v="Active"/>
    <n v="80"/>
    <n v="22"/>
    <n v="62.5"/>
    <n v="0"/>
    <n v="7062.5"/>
    <n v="1553.75"/>
    <n v="0"/>
    <n v="5508.75"/>
    <n v="0"/>
    <n v="5572.49"/>
    <s v="Review"/>
    <s v="Overtime threshold; Pay spike/drop"/>
    <n v="7062.5"/>
    <s v="Needs payroll review before approval"/>
    <s v="Flag"/>
    <s v="Flag"/>
    <s v="OK"/>
    <s v="OK"/>
    <n v="2"/>
    <x v="2"/>
  </r>
  <r>
    <n v="46087"/>
    <s v="E1100"/>
    <s v="Esther Garcia"/>
    <x v="3"/>
    <s v="IT Support"/>
    <s v="NY"/>
    <s v="Active"/>
    <n v="80"/>
    <n v="0"/>
    <n v="39.42"/>
    <n v="0"/>
    <n v="3153.85"/>
    <n v="693.85"/>
    <n v="185"/>
    <n v="2275"/>
    <n v="185"/>
    <n v="3683.68"/>
    <s v="Clear"/>
    <s v="None"/>
    <n v="0"/>
    <s v="No exception detected"/>
    <s v="Flag"/>
    <s v="OK"/>
    <s v="OK"/>
    <s v="OK"/>
    <n v="1"/>
    <x v="1"/>
  </r>
  <r>
    <n v="46087"/>
    <s v="E1101"/>
    <s v="Samuel Clark"/>
    <x v="1"/>
    <s v="Financial Analyst"/>
    <s v="PA"/>
    <s v="Active"/>
    <n v="80"/>
    <n v="0"/>
    <n v="42.79"/>
    <n v="0"/>
    <n v="3423.08"/>
    <n v="753.08"/>
    <n v="185"/>
    <n v="2485"/>
    <n v="185"/>
    <n v="3837.08"/>
    <s v="Review"/>
    <s v="Potential state nexus"/>
    <n v="3423.08"/>
    <s v="Needs payroll review before approval"/>
    <s v="OK"/>
    <s v="OK"/>
    <s v="OK"/>
    <s v="OK"/>
    <n v="0"/>
    <x v="0"/>
  </r>
  <r>
    <n v="46087"/>
    <s v="E1102"/>
    <s v="Caleb Walker"/>
    <x v="4"/>
    <s v="Sales Manager"/>
    <s v="PA"/>
    <s v="Active"/>
    <n v="80"/>
    <n v="0"/>
    <n v="38.94"/>
    <n v="0"/>
    <n v="3115.38"/>
    <n v="685.38"/>
    <n v="310"/>
    <n v="2120"/>
    <n v="310"/>
    <n v="3556.82"/>
    <s v="Review"/>
    <s v="Potential state nexus"/>
    <n v="3115.38"/>
    <s v="Needs payroll review before approval"/>
    <s v="OK"/>
    <s v="OK"/>
    <s v="OK"/>
    <s v="OK"/>
    <n v="0"/>
    <x v="0"/>
  </r>
  <r>
    <n v="46087"/>
    <s v="E1103"/>
    <s v="Rosa Young"/>
    <x v="3"/>
    <s v="IT Support"/>
    <s v="NY"/>
    <s v="Active"/>
    <n v="80"/>
    <n v="0"/>
    <n v="38.46"/>
    <n v="0"/>
    <n v="3076.92"/>
    <n v="676.92"/>
    <n v="0"/>
    <n v="2400"/>
    <n v="0"/>
    <n v="3385.8"/>
    <s v="Clear"/>
    <s v="None"/>
    <n v="0"/>
    <s v="No exception detected"/>
    <s v="OK"/>
    <s v="OK"/>
    <s v="OK"/>
    <s v="OK"/>
    <n v="0"/>
    <x v="0"/>
  </r>
  <r>
    <n v="46087"/>
    <s v="E1104"/>
    <s v="Samuel Jackson"/>
    <x v="6"/>
    <s v="HR Generalist"/>
    <s v="MA"/>
    <s v="Active"/>
    <n v="80"/>
    <n v="4"/>
    <n v="43.75"/>
    <n v="250"/>
    <n v="4012.5"/>
    <n v="882.75"/>
    <n v="0"/>
    <n v="3129.75"/>
    <n v="0"/>
    <n v="4278.58"/>
    <s v="Clear"/>
    <s v="None"/>
    <n v="0"/>
    <s v="No exception detected"/>
    <s v="OK"/>
    <s v="OK"/>
    <s v="OK"/>
    <s v="OK"/>
    <n v="0"/>
    <x v="0"/>
  </r>
  <r>
    <n v="46087"/>
    <s v="E1105"/>
    <s v="Ethan Jackson"/>
    <x v="0"/>
    <s v="Ops Manager"/>
    <s v="CA"/>
    <s v="Active"/>
    <n v="80"/>
    <n v="4"/>
    <n v="41.35"/>
    <n v="0"/>
    <n v="3555.79"/>
    <n v="782.27"/>
    <n v="0"/>
    <n v="2598.52"/>
    <n v="0"/>
    <n v="3846.76"/>
    <s v="Review"/>
    <s v="Gross-to-net mismatch; Potential state nexus"/>
    <n v="3555.79"/>
    <s v="Needs payroll review before approval"/>
    <s v="OK"/>
    <s v="OK"/>
    <s v="OK"/>
    <s v="Mismatch"/>
    <n v="1"/>
    <x v="1"/>
  </r>
  <r>
    <n v="46087"/>
    <s v="E1106"/>
    <s v="Brian Smith"/>
    <x v="0"/>
    <s v="Process Analyst"/>
    <s v="MA"/>
    <s v="Active"/>
    <n v="80"/>
    <n v="0"/>
    <n v="44.71"/>
    <n v="0"/>
    <n v="3576.92"/>
    <n v="786.92"/>
    <n v="0"/>
    <n v="2790"/>
    <n v="0"/>
    <n v="3743.41"/>
    <s v="Clear"/>
    <s v="None"/>
    <n v="0"/>
    <s v="No exception detected"/>
    <s v="OK"/>
    <s v="OK"/>
    <s v="OK"/>
    <s v="OK"/>
    <n v="0"/>
    <x v="0"/>
  </r>
  <r>
    <n v="46087"/>
    <s v="E1107"/>
    <s v="Sade Robinson"/>
    <x v="3"/>
    <s v="Data Engineer"/>
    <s v="NH"/>
    <s v="Active"/>
    <n v="80"/>
    <n v="2"/>
    <n v="41.35"/>
    <n v="250"/>
    <n v="3681.74"/>
    <n v="809.98"/>
    <n v="0"/>
    <n v="2871.76"/>
    <n v="0"/>
    <n v="3373.84"/>
    <s v="Clear"/>
    <s v="None"/>
    <n v="0"/>
    <s v="No exception detected"/>
    <s v="OK"/>
    <s v="OK"/>
    <s v="OK"/>
    <s v="OK"/>
    <n v="0"/>
    <x v="0"/>
  </r>
  <r>
    <n v="46087"/>
    <s v="E1108"/>
    <s v="Daniel Harris"/>
    <x v="6"/>
    <s v="Recruiter"/>
    <s v="RI"/>
    <s v="Active"/>
    <n v="80"/>
    <n v="2"/>
    <n v="41.83"/>
    <n v="0"/>
    <n v="3471.64"/>
    <n v="763.76"/>
    <n v="185"/>
    <n v="2522.88"/>
    <n v="185"/>
    <n v="3525.47"/>
    <s v="Clear"/>
    <s v="None"/>
    <n v="0"/>
    <s v="No exception detected"/>
    <s v="OK"/>
    <s v="OK"/>
    <s v="OK"/>
    <s v="OK"/>
    <n v="0"/>
    <x v="0"/>
  </r>
  <r>
    <n v="46087"/>
    <s v="E1109"/>
    <s v="Caleb Brown"/>
    <x v="5"/>
    <s v="Marketing Coordinator"/>
    <s v="PA"/>
    <s v="Active"/>
    <n v="80"/>
    <n v="0"/>
    <n v="50"/>
    <n v="0"/>
    <n v="4000"/>
    <n v="880"/>
    <n v="310"/>
    <n v="2810"/>
    <n v="310"/>
    <n v="4607.6000000000004"/>
    <s v="Review"/>
    <s v="Potential state nexus"/>
    <n v="4000"/>
    <s v="Needs payroll review before approval"/>
    <s v="Flag"/>
    <s v="OK"/>
    <s v="OK"/>
    <s v="OK"/>
    <n v="1"/>
    <x v="1"/>
  </r>
  <r>
    <n v="46087"/>
    <s v="E1110"/>
    <s v="Sade Perez"/>
    <x v="6"/>
    <s v="Recruiter"/>
    <s v="GA"/>
    <s v="Active"/>
    <n v="80"/>
    <n v="28"/>
    <n v="42.31"/>
    <n v="0"/>
    <n v="5161.6400000000003"/>
    <n v="1135.56"/>
    <n v="0"/>
    <n v="4026.08"/>
    <n v="0"/>
    <n v="3642.57"/>
    <s v="Review"/>
    <s v="Overtime threshold; Pay spike/drop; Potential state nexus"/>
    <n v="5161.6400000000003"/>
    <s v="Needs payroll review before approval"/>
    <s v="Flag"/>
    <s v="Flag"/>
    <s v="OK"/>
    <s v="OK"/>
    <n v="2"/>
    <x v="2"/>
  </r>
  <r>
    <n v="46087"/>
    <s v="E1111"/>
    <s v="Tobi Taylor"/>
    <x v="1"/>
    <s v="Financial Analyst"/>
    <s v="NY"/>
    <s v="Active"/>
    <n v="80"/>
    <n v="0"/>
    <n v="40.380000000000003"/>
    <n v="500"/>
    <n v="3730.77"/>
    <n v="820.77"/>
    <n v="310"/>
    <n v="2600"/>
    <n v="310"/>
    <n v="3341.62"/>
    <s v="Clear"/>
    <s v="None"/>
    <n v="0"/>
    <s v="No exception detected"/>
    <s v="OK"/>
    <s v="OK"/>
    <s v="OK"/>
    <s v="OK"/>
    <n v="0"/>
    <x v="0"/>
  </r>
  <r>
    <n v="46087"/>
    <s v="E1112"/>
    <s v="Lucas Thomas"/>
    <x v="1"/>
    <s v="Accounting Specialist"/>
    <s v="RI"/>
    <s v="Active"/>
    <n v="80"/>
    <n v="8"/>
    <n v="50"/>
    <n v="250"/>
    <n v="4850"/>
    <n v="1067"/>
    <n v="185"/>
    <n v="3598"/>
    <n v="185"/>
    <n v="4311.74"/>
    <s v="Clear"/>
    <s v="None"/>
    <n v="0"/>
    <s v="No exception detected"/>
    <s v="Flag"/>
    <s v="OK"/>
    <s v="OK"/>
    <s v="OK"/>
    <n v="1"/>
    <x v="1"/>
  </r>
  <r>
    <n v="46087"/>
    <s v="E1113"/>
    <s v="Samuel Jackson"/>
    <x v="5"/>
    <s v="Growth Analyst"/>
    <s v="PA"/>
    <s v="Terminated"/>
    <n v="80"/>
    <n v="0"/>
    <n v="41.35"/>
    <n v="500"/>
    <n v="3807.69"/>
    <n v="837.69"/>
    <n v="0"/>
    <n v="2970"/>
    <n v="0"/>
    <n v="3994.52"/>
    <s v="Review"/>
    <s v="Terminated employee paid; Potential state nexus"/>
    <n v="3807.69"/>
    <s v="Needs payroll review before approval"/>
    <s v="OK"/>
    <s v="OK"/>
    <s v="Flag"/>
    <s v="OK"/>
    <n v="1"/>
    <x v="1"/>
  </r>
  <r>
    <n v="46087"/>
    <s v="E1114"/>
    <s v="Logan Moore"/>
    <x v="5"/>
    <s v="Marketing Coordinator"/>
    <s v="MA"/>
    <s v="Terminated"/>
    <n v="80"/>
    <n v="8"/>
    <n v="43.75"/>
    <n v="250"/>
    <n v="4275"/>
    <n v="940.5"/>
    <n v="0"/>
    <n v="3334.5"/>
    <n v="0"/>
    <n v="4046.24"/>
    <s v="Review"/>
    <s v="Terminated employee paid"/>
    <n v="4275"/>
    <s v="Needs payroll review before approval"/>
    <s v="OK"/>
    <s v="OK"/>
    <s v="Flag"/>
    <s v="OK"/>
    <n v="1"/>
    <x v="1"/>
  </r>
  <r>
    <n v="46087"/>
    <s v="E1115"/>
    <s v="Ava Clark"/>
    <x v="0"/>
    <s v="Operations Coordinator"/>
    <s v="NY"/>
    <s v="Terminated"/>
    <n v="80"/>
    <n v="8"/>
    <n v="34.130000000000003"/>
    <n v="0"/>
    <n v="3140.33"/>
    <n v="690.87"/>
    <n v="310"/>
    <n v="2139.46"/>
    <n v="310"/>
    <n v="2933.85"/>
    <s v="Review"/>
    <s v="Terminated employee paid"/>
    <n v="3140.33"/>
    <s v="Needs payroll review before approval"/>
    <s v="OK"/>
    <s v="OK"/>
    <s v="Flag"/>
    <s v="OK"/>
    <n v="1"/>
    <x v="1"/>
  </r>
  <r>
    <n v="46087"/>
    <s v="E1116"/>
    <s v="Zainab Martinez"/>
    <x v="4"/>
    <s v="Sales Associate"/>
    <s v="PA"/>
    <s v="Terminated"/>
    <n v="80"/>
    <n v="2"/>
    <n v="52.88"/>
    <n v="500"/>
    <n v="4889.41"/>
    <n v="1075.67"/>
    <n v="0"/>
    <n v="3813.74"/>
    <n v="0"/>
    <n v="4535.18"/>
    <s v="Review"/>
    <s v="Terminated employee paid; Potential state nexus"/>
    <n v="4889.41"/>
    <s v="Needs payroll review before approval"/>
    <s v="OK"/>
    <s v="OK"/>
    <s v="Flag"/>
    <s v="OK"/>
    <n v="1"/>
    <x v="1"/>
  </r>
  <r>
    <n v="46087"/>
    <s v="E1117"/>
    <s v="Samuel Lewis"/>
    <x v="6"/>
    <s v="HR Generalist"/>
    <s v="CA"/>
    <s v="Terminated"/>
    <n v="80"/>
    <n v="0"/>
    <n v="55.77"/>
    <n v="0"/>
    <n v="4461.54"/>
    <n v="981.54"/>
    <n v="310"/>
    <n v="3170"/>
    <n v="310"/>
    <n v="4940.04"/>
    <s v="Review"/>
    <s v="Terminated employee paid; Potential state nexus"/>
    <n v="4461.54"/>
    <s v="Needs payroll review before approval"/>
    <s v="OK"/>
    <s v="OK"/>
    <s v="Flag"/>
    <s v="OK"/>
    <n v="1"/>
    <x v="1"/>
  </r>
  <r>
    <n v="46087"/>
    <s v="E1118"/>
    <s v="Wendy Anderson"/>
    <x v="4"/>
    <s v="Sales Manager"/>
    <s v="NH"/>
    <s v="Terminated"/>
    <n v="80"/>
    <n v="4"/>
    <n v="52.4"/>
    <n v="0"/>
    <n v="4506.71"/>
    <n v="991.48"/>
    <n v="0"/>
    <n v="3515.23"/>
    <n v="0"/>
    <n v="4533.6099999999997"/>
    <s v="Review"/>
    <s v="Terminated employee paid"/>
    <n v="4506.71"/>
    <s v="Needs payroll review before approval"/>
    <s v="OK"/>
    <s v="OK"/>
    <s v="Flag"/>
    <s v="OK"/>
    <n v="1"/>
    <x v="1"/>
  </r>
  <r>
    <n v="46087"/>
    <s v="E1119"/>
    <s v="Tobi Moore"/>
    <x v="7"/>
    <s v="Risk Specialist"/>
    <s v="IL"/>
    <s v="Terminated"/>
    <n v="80"/>
    <n v="0"/>
    <n v="60.1"/>
    <n v="250"/>
    <n v="5057.6899999999996"/>
    <n v="1112.69"/>
    <n v="310"/>
    <n v="3635"/>
    <n v="310"/>
    <n v="5489.34"/>
    <s v="Review"/>
    <s v="Terminated employee paid; Potential state nexus"/>
    <n v="5057.6899999999996"/>
    <s v="Needs payroll review before approval"/>
    <s v="OK"/>
    <s v="OK"/>
    <s v="Flag"/>
    <s v="OK"/>
    <n v="1"/>
    <x v="1"/>
  </r>
  <r>
    <n v="46087"/>
    <s v="E1120"/>
    <s v="Ife Lee"/>
    <x v="1"/>
    <s v="Financial Analyst"/>
    <s v="PA"/>
    <s v="Terminated"/>
    <n v="80"/>
    <n v="4"/>
    <n v="34.130000000000003"/>
    <n v="0"/>
    <n v="2935.55"/>
    <n v="645.82000000000005"/>
    <n v="310"/>
    <n v="1979.73"/>
    <n v="310"/>
    <n v="3180.33"/>
    <s v="Review"/>
    <s v="Terminated employee paid; Potential state nexus"/>
    <n v="2935.55"/>
    <s v="Needs payroll review before approval"/>
    <s v="OK"/>
    <s v="OK"/>
    <s v="Flag"/>
    <s v="OK"/>
    <n v="1"/>
    <x v="1"/>
  </r>
  <r>
    <n v="46087"/>
    <s v="E1121"/>
    <s v="Kai Williams"/>
    <x v="2"/>
    <s v="Support Rep"/>
    <s v="PA"/>
    <s v="Leave"/>
    <n v="80"/>
    <n v="2"/>
    <n v="57.21"/>
    <n v="0"/>
    <n v="4748.55"/>
    <n v="1044.68"/>
    <n v="310"/>
    <n v="3393.87"/>
    <n v="310"/>
    <n v="4765.7700000000004"/>
    <s v="Review"/>
    <s v="Potential state nexus"/>
    <n v="4748.55"/>
    <s v="Needs payroll review before approval"/>
    <s v="OK"/>
    <s v="OK"/>
    <s v="OK"/>
    <s v="OK"/>
    <n v="0"/>
    <x v="0"/>
  </r>
  <r>
    <n v="46087"/>
    <s v="E1122"/>
    <s v="Mateo Clark"/>
    <x v="7"/>
    <s v="Audit Coordinator"/>
    <s v="TX"/>
    <s v="Leave"/>
    <n v="80"/>
    <n v="0"/>
    <n v="53.85"/>
    <n v="4000"/>
    <n v="8307.69"/>
    <n v="1827.69"/>
    <n v="310"/>
    <n v="6170"/>
    <n v="310"/>
    <n v="4585.9399999999996"/>
    <s v="Review"/>
    <s v="Pay spike/drop; Potential state nexus"/>
    <n v="8307.69"/>
    <s v="Needs payroll review before approval"/>
    <s v="Flag"/>
    <s v="OK"/>
    <s v="OK"/>
    <s v="OK"/>
    <n v="1"/>
    <x v="1"/>
  </r>
  <r>
    <n v="46087"/>
    <s v="E1123"/>
    <s v="Lina Clark"/>
    <x v="7"/>
    <s v="Audit Coordinator"/>
    <s v="NY"/>
    <s v="Leave"/>
    <n v="80"/>
    <n v="4"/>
    <n v="57.69"/>
    <n v="0"/>
    <n v="4961.5200000000004"/>
    <n v="1091.53"/>
    <n v="310"/>
    <n v="3559.99"/>
    <n v="310"/>
    <n v="4603.6000000000004"/>
    <s v="Clear"/>
    <s v="None"/>
    <n v="0"/>
    <s v="No exception detected"/>
    <s v="OK"/>
    <s v="OK"/>
    <s v="OK"/>
    <s v="OK"/>
    <n v="0"/>
    <x v="0"/>
  </r>
  <r>
    <n v="46087"/>
    <s v="E1124"/>
    <s v="Omar Lewis"/>
    <x v="5"/>
    <s v="Growth Analyst"/>
    <s v="MA"/>
    <s v="Leave"/>
    <n v="80"/>
    <n v="0"/>
    <n v="39.42"/>
    <n v="0"/>
    <n v="3153.85"/>
    <n v="693.85"/>
    <n v="0"/>
    <n v="2460"/>
    <n v="0"/>
    <n v="3460.81"/>
    <s v="Clear"/>
    <s v="None"/>
    <n v="0"/>
    <s v="No exception detected"/>
    <s v="OK"/>
    <s v="OK"/>
    <s v="OK"/>
    <s v="OK"/>
    <n v="0"/>
    <x v="0"/>
  </r>
  <r>
    <n v="46087"/>
    <s v="E1125"/>
    <s v="Brian Johnson"/>
    <x v="0"/>
    <s v="Ops Manager"/>
    <s v="NY"/>
    <s v="Leave"/>
    <n v="80"/>
    <n v="0"/>
    <n v="51.92"/>
    <n v="0"/>
    <n v="4153.8500000000004"/>
    <n v="913.85"/>
    <n v="185"/>
    <n v="3055"/>
    <n v="185"/>
    <n v="4692.18"/>
    <s v="Clear"/>
    <s v="None"/>
    <n v="0"/>
    <s v="No exception detected"/>
    <s v="Flag"/>
    <s v="OK"/>
    <s v="OK"/>
    <s v="OK"/>
    <n v="1"/>
    <x v="1"/>
  </r>
  <r>
    <n v="46087"/>
    <s v="E1018"/>
    <s v="Aria Anderson"/>
    <x v="3"/>
    <s v="Systems Analyst"/>
    <s v="IL"/>
    <s v="Active"/>
    <n v="80"/>
    <n v="8"/>
    <n v="58.17"/>
    <n v="0"/>
    <n v="5351.89"/>
    <n v="1177.42"/>
    <n v="0"/>
    <n v="4174.47"/>
    <n v="0"/>
    <n v="5438.12"/>
    <s v="Review"/>
    <s v="Potential state nexus"/>
    <n v="5351.89"/>
    <s v="Duplicate row intentionally added for audit testing"/>
    <s v="OK"/>
    <s v="OK"/>
    <s v="OK"/>
    <s v="OK"/>
    <n v="0"/>
    <x v="0"/>
  </r>
  <r>
    <m/>
    <m/>
    <m/>
    <x v="8"/>
    <m/>
    <m/>
    <m/>
    <m/>
    <m/>
    <m/>
    <m/>
    <m/>
    <m/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07AEF-5B36-4AA9-B6C5-96CFA985C6C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isk Type">
  <location ref="A3:D16" firstHeaderRow="0" firstDataRow="1" firstDataCol="1" rowPageCount="1" colPageCount="1"/>
  <pivotFields count="21">
    <pivotField showAll="0"/>
    <pivotField showAll="0"/>
    <pivotField showAll="0"/>
    <pivotField axis="axisPage" showAll="0">
      <items count="10">
        <item x="7"/>
        <item x="2"/>
        <item x="1"/>
        <item x="6"/>
        <item x="3"/>
        <item x="5"/>
        <item x="0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6"/>
        <item x="10"/>
        <item x="5"/>
        <item x="4"/>
        <item x="7"/>
        <item x="3"/>
        <item x="2"/>
        <item x="9"/>
        <item x="0"/>
        <item x="8"/>
        <item x="1"/>
        <item x="11"/>
        <item t="default"/>
      </items>
    </pivotField>
    <pivotField dataField="1" showAll="0"/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Cases" fld="19" subtotal="count" baseField="18" baseItem="0"/>
    <dataField name="Total $ at Risk " fld="19" baseField="18" baseItem="4"/>
    <dataField name="% of Total Risk" fld="19" showDataAs="percentOfTotal" baseField="18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892BC-D205-4DC8-BCE5-51AE5571A25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ses" fld="1" subtotal="count" baseField="26" baseItem="0"/>
    <dataField name="Total $ at Risk" fld="19" baseField="26" baseItem="0"/>
    <dataField name="% of Total Risk" fld="19" showDataAs="percentOfTotal" baseField="26" baseItem="0" numFmtId="1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6" type="button" dataOnly="0" labelOnly="1" outline="0" axis="axisRow" fieldPosition="0"/>
    </format>
    <format dxfId="27">
      <pivotArea dataOnly="0" labelOnly="1" fieldPosition="0">
        <references count="1">
          <reference field="26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56AFC-E95C-4289-B9AB-AB8630919D67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7">
    <pivotField showAll="0"/>
    <pivotField showAll="0"/>
    <pivotField showAll="0"/>
    <pivotField axis="axisRow" showAll="0">
      <items count="10">
        <item x="7"/>
        <item x="2"/>
        <item x="1"/>
        <item x="6"/>
        <item x="3"/>
        <item x="5"/>
        <item x="0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2"/>
        <item h="1" x="0"/>
        <item h="1" x="1"/>
        <item h="1" x="3"/>
        <item t="default"/>
      </items>
    </pivotField>
  </pivotFields>
  <rowFields count="1">
    <field x="3"/>
  </rowFields>
  <rowItems count="4">
    <i>
      <x/>
    </i>
    <i>
      <x v="3"/>
    </i>
    <i>
      <x v="4"/>
    </i>
    <i t="grand">
      <x/>
    </i>
  </rowItems>
  <colItems count="1">
    <i/>
  </colItems>
  <pageFields count="1">
    <pageField fld="26" hier="-1"/>
  </pageFields>
  <dataFields count="1">
    <dataField name="Total $ at Risk" fld="19" baseField="3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3">
            <x v="0"/>
            <x v="3"/>
            <x v="4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0" sqref="B10"/>
    </sheetView>
  </sheetViews>
  <sheetFormatPr defaultRowHeight="14"/>
  <cols>
    <col min="1" max="1" width="27.58203125" style="3" customWidth="1"/>
    <col min="2" max="2" width="108.1640625" style="3" customWidth="1"/>
    <col min="3" max="16384" width="8.6640625" style="3"/>
  </cols>
  <sheetData>
    <row r="1" spans="1:2">
      <c r="A1" s="1" t="s">
        <v>0</v>
      </c>
      <c r="B1" s="1"/>
    </row>
    <row r="2" spans="1:2">
      <c r="A2" s="3" t="s">
        <v>1</v>
      </c>
      <c r="B2" s="3" t="s">
        <v>2</v>
      </c>
    </row>
    <row r="3" spans="1:2">
      <c r="A3" s="3" t="s">
        <v>3</v>
      </c>
      <c r="B3" s="3" t="s">
        <v>4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9" spans="1:2">
      <c r="A9" s="3" t="s">
        <v>13</v>
      </c>
      <c r="B9" s="3" t="s">
        <v>14</v>
      </c>
    </row>
    <row r="10" spans="1:2">
      <c r="A10" s="3" t="s">
        <v>15</v>
      </c>
      <c r="B10" s="3" t="s">
        <v>16</v>
      </c>
    </row>
    <row r="11" spans="1:2">
      <c r="A11" s="3" t="s">
        <v>17</v>
      </c>
      <c r="B11" s="3" t="s">
        <v>18</v>
      </c>
    </row>
    <row r="12" spans="1:2">
      <c r="A12" s="3" t="s">
        <v>19</v>
      </c>
      <c r="B12" s="3" t="s">
        <v>20</v>
      </c>
    </row>
    <row r="13" spans="1:2">
      <c r="A13" s="3" t="s">
        <v>21</v>
      </c>
      <c r="B13" s="3" t="s">
        <v>22</v>
      </c>
    </row>
    <row r="14" spans="1:2">
      <c r="A14" s="3" t="s">
        <v>23</v>
      </c>
      <c r="B14" s="3" t="s">
        <v>24</v>
      </c>
    </row>
    <row r="15" spans="1:2">
      <c r="A15" s="3" t="s">
        <v>25</v>
      </c>
      <c r="B15" s="3" t="s">
        <v>26</v>
      </c>
    </row>
    <row r="16" spans="1:2">
      <c r="A16" s="3" t="s">
        <v>27</v>
      </c>
      <c r="B16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7"/>
  <sheetViews>
    <sheetView workbookViewId="0">
      <selection activeCell="U1" sqref="A1:XFD1048576"/>
    </sheetView>
  </sheetViews>
  <sheetFormatPr defaultRowHeight="14"/>
  <cols>
    <col min="1" max="1" width="9.6640625" style="3" customWidth="1"/>
    <col min="2" max="2" width="11.4140625" style="3" customWidth="1"/>
    <col min="3" max="3" width="14.6640625" style="3" customWidth="1"/>
    <col min="4" max="4" width="15.4140625" style="3" customWidth="1"/>
    <col min="5" max="5" width="23.6640625" style="3" customWidth="1"/>
    <col min="6" max="6" width="10.1640625" style="3" customWidth="1"/>
    <col min="7" max="7" width="9.58203125" style="3" customWidth="1"/>
    <col min="8" max="8" width="12.6640625" style="3" customWidth="1"/>
    <col min="9" max="9" width="14.25" style="3" customWidth="1"/>
    <col min="10" max="10" width="10.6640625" style="3" customWidth="1"/>
    <col min="11" max="11" width="5.25" style="3" customWidth="1"/>
    <col min="12" max="12" width="8.83203125" style="3" customWidth="1"/>
    <col min="13" max="13" width="6.83203125" style="3" customWidth="1"/>
    <col min="14" max="14" width="9.6640625" style="3" customWidth="1"/>
    <col min="15" max="15" width="7.1640625" style="3" customWidth="1"/>
    <col min="16" max="16" width="18.6640625" style="3" customWidth="1"/>
    <col min="17" max="17" width="14.25" style="3" customWidth="1"/>
    <col min="18" max="18" width="15" style="3" customWidth="1"/>
    <col min="19" max="19" width="48.6640625" style="3" customWidth="1"/>
    <col min="20" max="20" width="13.58203125" style="3" customWidth="1"/>
    <col min="21" max="21" width="42.6640625" style="3" customWidth="1"/>
    <col min="22" max="22" width="13.9140625" style="3" bestFit="1" customWidth="1"/>
    <col min="23" max="23" width="11.6640625" style="3" bestFit="1" customWidth="1"/>
    <col min="24" max="24" width="14.75" style="3" bestFit="1" customWidth="1"/>
    <col min="25" max="25" width="14.33203125" style="3" bestFit="1" customWidth="1"/>
    <col min="26" max="26" width="10.08203125" style="3" customWidth="1"/>
    <col min="27" max="27" width="10.25" style="3" customWidth="1"/>
    <col min="28" max="16384" width="8.6640625" style="3"/>
  </cols>
  <sheetData>
    <row r="1" spans="1:27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11" t="s">
        <v>38</v>
      </c>
      <c r="K1" s="11" t="s">
        <v>39</v>
      </c>
      <c r="L1" s="11" t="s">
        <v>40</v>
      </c>
      <c r="M1" s="11" t="s">
        <v>41</v>
      </c>
      <c r="N1" s="11" t="s">
        <v>42</v>
      </c>
      <c r="O1" s="11" t="s">
        <v>43</v>
      </c>
      <c r="P1" s="11" t="s">
        <v>44</v>
      </c>
      <c r="Q1" s="11" t="s">
        <v>45</v>
      </c>
      <c r="R1" s="10" t="s">
        <v>46</v>
      </c>
      <c r="S1" s="10" t="s">
        <v>47</v>
      </c>
      <c r="T1" s="11" t="s">
        <v>48</v>
      </c>
      <c r="U1" s="10" t="s">
        <v>49</v>
      </c>
      <c r="V1" s="12" t="s">
        <v>450</v>
      </c>
      <c r="W1" s="12" t="s">
        <v>451</v>
      </c>
      <c r="X1" s="12" t="s">
        <v>452</v>
      </c>
      <c r="Y1" s="12" t="s">
        <v>453</v>
      </c>
      <c r="Z1" s="12" t="s">
        <v>455</v>
      </c>
      <c r="AA1" s="12" t="s">
        <v>454</v>
      </c>
    </row>
    <row r="2" spans="1:27">
      <c r="A2" s="3">
        <v>46087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>
        <v>80</v>
      </c>
      <c r="I2" s="3">
        <v>0</v>
      </c>
      <c r="J2" s="3">
        <v>38.46</v>
      </c>
      <c r="K2" s="3">
        <v>250</v>
      </c>
      <c r="L2" s="3">
        <v>3326.92</v>
      </c>
      <c r="M2" s="3">
        <v>731.92</v>
      </c>
      <c r="N2" s="3">
        <v>185</v>
      </c>
      <c r="O2" s="3">
        <v>2410</v>
      </c>
      <c r="P2" s="3">
        <v>185</v>
      </c>
      <c r="Q2" s="3">
        <v>3361.83</v>
      </c>
      <c r="R2" s="3" t="s">
        <v>56</v>
      </c>
      <c r="S2" s="3" t="s">
        <v>57</v>
      </c>
      <c r="T2" s="3">
        <v>3326.92</v>
      </c>
      <c r="U2" s="3" t="s">
        <v>58</v>
      </c>
      <c r="V2" s="3" t="str">
        <f>IF(ABS(L2-Q2)&gt;500,"Flag","OK")</f>
        <v>OK</v>
      </c>
      <c r="W2" s="3" t="str">
        <f>IF(I2&gt;20,"Flag","OK")</f>
        <v>OK</v>
      </c>
      <c r="X2" s="3" t="str">
        <f>IF(G2="Terminated","Flag","OK")</f>
        <v>OK</v>
      </c>
      <c r="Y2" s="3" t="str">
        <f>IF(ABS(L2-(M2+N2+O2))&gt;1,"Mismatch","OK")</f>
        <v>OK</v>
      </c>
      <c r="Z2" s="3">
        <f>IF(V2="Flag",1,0)
 +IF(W2="Flag",1,0)
 +IF(X2="Flag",1,0)
 +IF(Y2="Mismatch",1,0)</f>
        <v>0</v>
      </c>
      <c r="AA2" s="3" t="str">
        <f>IF(Z2=0,"Low",
 IF(Z2=1,"Medium",
 "High"))</f>
        <v>Low</v>
      </c>
    </row>
    <row r="3" spans="1:27">
      <c r="A3" s="3">
        <v>46087</v>
      </c>
      <c r="B3" s="3" t="s">
        <v>59</v>
      </c>
      <c r="C3" s="3" t="s">
        <v>60</v>
      </c>
      <c r="D3" s="3" t="s">
        <v>52</v>
      </c>
      <c r="E3" s="3" t="s">
        <v>61</v>
      </c>
      <c r="F3" s="3" t="s">
        <v>62</v>
      </c>
      <c r="G3" s="3" t="s">
        <v>55</v>
      </c>
      <c r="H3" s="3">
        <v>80</v>
      </c>
      <c r="I3" s="3">
        <v>6</v>
      </c>
      <c r="J3" s="3">
        <v>26.44</v>
      </c>
      <c r="K3" s="3">
        <v>0</v>
      </c>
      <c r="L3" s="3">
        <v>2353.34</v>
      </c>
      <c r="M3" s="3">
        <v>517.73</v>
      </c>
      <c r="N3" s="3">
        <v>185</v>
      </c>
      <c r="O3" s="3">
        <v>1650.61</v>
      </c>
      <c r="P3" s="3">
        <v>185</v>
      </c>
      <c r="Q3" s="3">
        <v>2234.79</v>
      </c>
      <c r="R3" s="3" t="s">
        <v>56</v>
      </c>
      <c r="S3" s="3" t="s">
        <v>57</v>
      </c>
      <c r="T3" s="3">
        <v>2353.34</v>
      </c>
      <c r="U3" s="3" t="s">
        <v>58</v>
      </c>
      <c r="V3" s="3" t="str">
        <f t="shared" ref="V3:V66" si="0">IF(ABS(L3-Q3)&gt;500,"Flag","OK")</f>
        <v>OK</v>
      </c>
      <c r="W3" s="3" t="str">
        <f t="shared" ref="W3:W66" si="1">IF(I3&gt;20,"Flag","OK")</f>
        <v>OK</v>
      </c>
      <c r="X3" s="3" t="str">
        <f t="shared" ref="X3:X66" si="2">IF(G3="Terminated","Flag","OK")</f>
        <v>OK</v>
      </c>
      <c r="Y3" s="3" t="str">
        <f t="shared" ref="Y3:Y66" si="3">IF(ABS(L3-(M3+N3+O3))&gt;1,"Mismatch","OK")</f>
        <v>OK</v>
      </c>
      <c r="Z3" s="3">
        <f t="shared" ref="Z3:Z66" si="4">IF(V3="Flag",1,0)
 +IF(W3="Flag",1,0)
 +IF(X3="Flag",1,0)
 +IF(Y3="Mismatch",1,0)</f>
        <v>0</v>
      </c>
      <c r="AA3" s="3" t="str">
        <f t="shared" ref="AA3:AA66" si="5">IF(Z3=0,"Low",
 IF(Z3=1,"Medium",
 "High"))</f>
        <v>Low</v>
      </c>
    </row>
    <row r="4" spans="1:27">
      <c r="A4" s="3">
        <v>46087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>
        <v>80</v>
      </c>
      <c r="I4" s="3">
        <v>0</v>
      </c>
      <c r="J4" s="3">
        <v>50.48</v>
      </c>
      <c r="K4" s="3">
        <v>0</v>
      </c>
      <c r="L4" s="3">
        <v>4038.46</v>
      </c>
      <c r="M4" s="3">
        <v>888.46</v>
      </c>
      <c r="N4" s="3">
        <v>185</v>
      </c>
      <c r="O4" s="3">
        <v>2965</v>
      </c>
      <c r="P4" s="3">
        <v>185</v>
      </c>
      <c r="Q4" s="3">
        <v>4495.16</v>
      </c>
      <c r="R4" s="3" t="s">
        <v>56</v>
      </c>
      <c r="S4" s="3" t="s">
        <v>69</v>
      </c>
      <c r="T4" s="3">
        <v>4038.46</v>
      </c>
      <c r="U4" s="3" t="s">
        <v>58</v>
      </c>
      <c r="V4" s="3" t="str">
        <f t="shared" si="0"/>
        <v>OK</v>
      </c>
      <c r="W4" s="3" t="str">
        <f t="shared" si="1"/>
        <v>OK</v>
      </c>
      <c r="X4" s="3" t="str">
        <f t="shared" si="2"/>
        <v>Flag</v>
      </c>
      <c r="Y4" s="3" t="str">
        <f t="shared" si="3"/>
        <v>OK</v>
      </c>
      <c r="Z4" s="3">
        <f t="shared" si="4"/>
        <v>1</v>
      </c>
      <c r="AA4" s="3" t="str">
        <f t="shared" si="5"/>
        <v>Medium</v>
      </c>
    </row>
    <row r="5" spans="1:27">
      <c r="A5" s="3">
        <v>46087</v>
      </c>
      <c r="B5" s="3" t="s">
        <v>70</v>
      </c>
      <c r="C5" s="3" t="s">
        <v>71</v>
      </c>
      <c r="D5" s="3" t="s">
        <v>65</v>
      </c>
      <c r="E5" s="3" t="s">
        <v>72</v>
      </c>
      <c r="F5" s="3" t="s">
        <v>62</v>
      </c>
      <c r="G5" s="3" t="s">
        <v>55</v>
      </c>
      <c r="H5" s="3">
        <v>80</v>
      </c>
      <c r="I5" s="3">
        <v>8</v>
      </c>
      <c r="J5" s="3">
        <v>41.83</v>
      </c>
      <c r="K5" s="3">
        <v>250</v>
      </c>
      <c r="L5" s="3">
        <v>4098.1099999999997</v>
      </c>
      <c r="M5" s="3">
        <v>901.58</v>
      </c>
      <c r="N5" s="3">
        <v>185</v>
      </c>
      <c r="O5" s="3">
        <v>3011.53</v>
      </c>
      <c r="P5" s="3">
        <v>185</v>
      </c>
      <c r="Q5" s="3">
        <v>3908.17</v>
      </c>
      <c r="R5" s="3" t="s">
        <v>56</v>
      </c>
      <c r="S5" s="3" t="s">
        <v>57</v>
      </c>
      <c r="T5" s="3">
        <v>4098.1099999999997</v>
      </c>
      <c r="U5" s="3" t="s">
        <v>58</v>
      </c>
      <c r="V5" s="3" t="str">
        <f t="shared" si="0"/>
        <v>OK</v>
      </c>
      <c r="W5" s="3" t="str">
        <f t="shared" si="1"/>
        <v>OK</v>
      </c>
      <c r="X5" s="3" t="str">
        <f t="shared" si="2"/>
        <v>OK</v>
      </c>
      <c r="Y5" s="3" t="str">
        <f t="shared" si="3"/>
        <v>OK</v>
      </c>
      <c r="Z5" s="3">
        <f t="shared" si="4"/>
        <v>0</v>
      </c>
      <c r="AA5" s="3" t="str">
        <f t="shared" si="5"/>
        <v>Low</v>
      </c>
    </row>
    <row r="6" spans="1:27">
      <c r="A6" s="3">
        <v>46087</v>
      </c>
      <c r="B6" s="3" t="s">
        <v>73</v>
      </c>
      <c r="C6" s="3" t="s">
        <v>74</v>
      </c>
      <c r="D6" s="3" t="s">
        <v>52</v>
      </c>
      <c r="E6" s="3" t="s">
        <v>53</v>
      </c>
      <c r="F6" s="3" t="s">
        <v>62</v>
      </c>
      <c r="G6" s="3" t="s">
        <v>55</v>
      </c>
      <c r="H6" s="3">
        <v>80</v>
      </c>
      <c r="I6" s="3">
        <v>0</v>
      </c>
      <c r="J6" s="3">
        <v>46.63</v>
      </c>
      <c r="K6" s="3">
        <v>0</v>
      </c>
      <c r="L6" s="3">
        <v>3730.77</v>
      </c>
      <c r="M6" s="3">
        <v>820.77</v>
      </c>
      <c r="N6" s="3">
        <v>310</v>
      </c>
      <c r="O6" s="3">
        <v>2600</v>
      </c>
      <c r="P6" s="3">
        <v>310</v>
      </c>
      <c r="Q6" s="3">
        <v>3946.97</v>
      </c>
      <c r="R6" s="3" t="s">
        <v>56</v>
      </c>
      <c r="S6" s="3" t="s">
        <v>57</v>
      </c>
      <c r="T6" s="3">
        <v>3730.77</v>
      </c>
      <c r="U6" s="3" t="s">
        <v>58</v>
      </c>
      <c r="V6" s="3" t="str">
        <f t="shared" si="0"/>
        <v>OK</v>
      </c>
      <c r="W6" s="3" t="str">
        <f t="shared" si="1"/>
        <v>OK</v>
      </c>
      <c r="X6" s="3" t="str">
        <f t="shared" si="2"/>
        <v>OK</v>
      </c>
      <c r="Y6" s="3" t="str">
        <f t="shared" si="3"/>
        <v>OK</v>
      </c>
      <c r="Z6" s="3">
        <f t="shared" si="4"/>
        <v>0</v>
      </c>
      <c r="AA6" s="3" t="str">
        <f t="shared" si="5"/>
        <v>Low</v>
      </c>
    </row>
    <row r="7" spans="1:27">
      <c r="A7" s="3">
        <v>46087</v>
      </c>
      <c r="B7" s="3" t="s">
        <v>75</v>
      </c>
      <c r="C7" s="3" t="s">
        <v>76</v>
      </c>
      <c r="D7" s="3" t="s">
        <v>65</v>
      </c>
      <c r="E7" s="3" t="s">
        <v>66</v>
      </c>
      <c r="F7" s="3" t="s">
        <v>77</v>
      </c>
      <c r="G7" s="3" t="s">
        <v>55</v>
      </c>
      <c r="H7" s="3">
        <v>80</v>
      </c>
      <c r="I7" s="3">
        <v>0</v>
      </c>
      <c r="J7" s="3">
        <v>32.21</v>
      </c>
      <c r="K7" s="3">
        <v>0</v>
      </c>
      <c r="L7" s="3">
        <v>2576.92</v>
      </c>
      <c r="M7" s="3">
        <v>566.91999999999996</v>
      </c>
      <c r="N7" s="3">
        <v>310</v>
      </c>
      <c r="O7" s="3">
        <v>1700</v>
      </c>
      <c r="P7" s="3">
        <v>310</v>
      </c>
      <c r="Q7" s="3">
        <v>2922.01</v>
      </c>
      <c r="R7" s="3" t="s">
        <v>56</v>
      </c>
      <c r="S7" s="3" t="s">
        <v>57</v>
      </c>
      <c r="T7" s="3">
        <v>2576.92</v>
      </c>
      <c r="U7" s="3" t="s">
        <v>58</v>
      </c>
      <c r="V7" s="3" t="str">
        <f t="shared" si="0"/>
        <v>OK</v>
      </c>
      <c r="W7" s="3" t="str">
        <f t="shared" si="1"/>
        <v>OK</v>
      </c>
      <c r="X7" s="3" t="str">
        <f t="shared" si="2"/>
        <v>OK</v>
      </c>
      <c r="Y7" s="3" t="str">
        <f t="shared" si="3"/>
        <v>OK</v>
      </c>
      <c r="Z7" s="3">
        <f t="shared" si="4"/>
        <v>0</v>
      </c>
      <c r="AA7" s="3" t="str">
        <f t="shared" si="5"/>
        <v>Low</v>
      </c>
    </row>
    <row r="8" spans="1:27">
      <c r="A8" s="3">
        <v>46087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67</v>
      </c>
      <c r="G8" s="3" t="s">
        <v>55</v>
      </c>
      <c r="H8" s="3">
        <v>80</v>
      </c>
      <c r="I8" s="3">
        <v>8</v>
      </c>
      <c r="J8" s="3">
        <v>27.4</v>
      </c>
      <c r="K8" s="3">
        <v>0</v>
      </c>
      <c r="L8" s="3">
        <v>2521.11</v>
      </c>
      <c r="M8" s="3">
        <v>554.64</v>
      </c>
      <c r="N8" s="3">
        <v>0</v>
      </c>
      <c r="O8" s="3">
        <v>1966.47</v>
      </c>
      <c r="P8" s="3">
        <v>0</v>
      </c>
      <c r="Q8" s="3">
        <v>2477.0300000000002</v>
      </c>
      <c r="R8" s="3" t="s">
        <v>56</v>
      </c>
      <c r="S8" s="3" t="s">
        <v>57</v>
      </c>
      <c r="T8" s="3">
        <v>2521.11</v>
      </c>
      <c r="U8" s="3" t="s">
        <v>58</v>
      </c>
      <c r="V8" s="3" t="str">
        <f t="shared" si="0"/>
        <v>OK</v>
      </c>
      <c r="W8" s="3" t="str">
        <f t="shared" si="1"/>
        <v>OK</v>
      </c>
      <c r="X8" s="3" t="str">
        <f t="shared" si="2"/>
        <v>OK</v>
      </c>
      <c r="Y8" s="3" t="str">
        <f t="shared" si="3"/>
        <v>OK</v>
      </c>
      <c r="Z8" s="3">
        <f t="shared" si="4"/>
        <v>0</v>
      </c>
      <c r="AA8" s="3" t="str">
        <f t="shared" si="5"/>
        <v>Low</v>
      </c>
    </row>
    <row r="9" spans="1:27">
      <c r="A9" s="3">
        <v>46087</v>
      </c>
      <c r="B9" s="3" t="s">
        <v>82</v>
      </c>
      <c r="C9" s="3" t="s">
        <v>83</v>
      </c>
      <c r="D9" s="3" t="s">
        <v>52</v>
      </c>
      <c r="E9" s="3" t="s">
        <v>53</v>
      </c>
      <c r="F9" s="3" t="s">
        <v>84</v>
      </c>
      <c r="G9" s="3" t="s">
        <v>55</v>
      </c>
      <c r="H9" s="3">
        <v>80</v>
      </c>
      <c r="I9" s="3">
        <v>8</v>
      </c>
      <c r="J9" s="3">
        <v>41.83</v>
      </c>
      <c r="K9" s="3">
        <v>4000</v>
      </c>
      <c r="L9" s="3">
        <v>7848.11</v>
      </c>
      <c r="M9" s="3">
        <v>1726.58</v>
      </c>
      <c r="N9" s="3">
        <v>310</v>
      </c>
      <c r="O9" s="3">
        <v>5811.53</v>
      </c>
      <c r="P9" s="3">
        <v>310</v>
      </c>
      <c r="Q9" s="3">
        <v>3843.03</v>
      </c>
      <c r="R9" s="3" t="s">
        <v>56</v>
      </c>
      <c r="S9" s="3" t="s">
        <v>85</v>
      </c>
      <c r="T9" s="3">
        <v>7848.11</v>
      </c>
      <c r="U9" s="3" t="s">
        <v>58</v>
      </c>
      <c r="V9" s="3" t="str">
        <f t="shared" si="0"/>
        <v>Flag</v>
      </c>
      <c r="W9" s="3" t="str">
        <f t="shared" si="1"/>
        <v>OK</v>
      </c>
      <c r="X9" s="3" t="str">
        <f t="shared" si="2"/>
        <v>OK</v>
      </c>
      <c r="Y9" s="3" t="str">
        <f t="shared" si="3"/>
        <v>OK</v>
      </c>
      <c r="Z9" s="3">
        <f t="shared" si="4"/>
        <v>1</v>
      </c>
      <c r="AA9" s="3" t="str">
        <f t="shared" si="5"/>
        <v>Medium</v>
      </c>
    </row>
    <row r="10" spans="1:27">
      <c r="A10" s="3">
        <v>46087</v>
      </c>
      <c r="B10" s="3" t="s">
        <v>86</v>
      </c>
      <c r="C10" s="3" t="s">
        <v>87</v>
      </c>
      <c r="D10" s="3" t="s">
        <v>80</v>
      </c>
      <c r="E10" s="3" t="s">
        <v>88</v>
      </c>
      <c r="F10" s="3" t="s">
        <v>54</v>
      </c>
      <c r="G10" s="3" t="s">
        <v>55</v>
      </c>
      <c r="H10" s="3">
        <v>80</v>
      </c>
      <c r="I10" s="3">
        <v>0</v>
      </c>
      <c r="J10" s="3">
        <v>62.02</v>
      </c>
      <c r="K10" s="3">
        <v>250</v>
      </c>
      <c r="L10" s="3">
        <v>5211.54</v>
      </c>
      <c r="M10" s="3">
        <v>1146.54</v>
      </c>
      <c r="N10" s="3">
        <v>0</v>
      </c>
      <c r="O10" s="3">
        <v>4065</v>
      </c>
      <c r="P10" s="3">
        <v>0</v>
      </c>
      <c r="Q10" s="3">
        <v>5307.96</v>
      </c>
      <c r="R10" s="3" t="s">
        <v>56</v>
      </c>
      <c r="S10" s="3" t="s">
        <v>57</v>
      </c>
      <c r="T10" s="3">
        <v>5211.54</v>
      </c>
      <c r="U10" s="3" t="s">
        <v>58</v>
      </c>
      <c r="V10" s="3" t="str">
        <f t="shared" si="0"/>
        <v>OK</v>
      </c>
      <c r="W10" s="3" t="str">
        <f t="shared" si="1"/>
        <v>OK</v>
      </c>
      <c r="X10" s="3" t="str">
        <f t="shared" si="2"/>
        <v>OK</v>
      </c>
      <c r="Y10" s="3" t="str">
        <f t="shared" si="3"/>
        <v>OK</v>
      </c>
      <c r="Z10" s="3">
        <f t="shared" si="4"/>
        <v>0</v>
      </c>
      <c r="AA10" s="3" t="str">
        <f t="shared" si="5"/>
        <v>Low</v>
      </c>
    </row>
    <row r="11" spans="1:27">
      <c r="A11" s="3">
        <v>46087</v>
      </c>
      <c r="B11" s="3" t="s">
        <v>89</v>
      </c>
      <c r="C11" s="3" t="s">
        <v>90</v>
      </c>
      <c r="D11" s="3" t="s">
        <v>91</v>
      </c>
      <c r="E11" s="3" t="s">
        <v>92</v>
      </c>
      <c r="F11" s="3" t="s">
        <v>77</v>
      </c>
      <c r="G11" s="3" t="s">
        <v>55</v>
      </c>
      <c r="H11" s="3">
        <v>80</v>
      </c>
      <c r="I11" s="3">
        <v>28</v>
      </c>
      <c r="J11" s="3">
        <v>41.35</v>
      </c>
      <c r="K11" s="3">
        <v>0</v>
      </c>
      <c r="L11" s="3">
        <v>5044.3900000000003</v>
      </c>
      <c r="M11" s="3">
        <v>1109.77</v>
      </c>
      <c r="N11" s="3">
        <v>0</v>
      </c>
      <c r="O11" s="3">
        <v>3934.62</v>
      </c>
      <c r="P11" s="3">
        <v>0</v>
      </c>
      <c r="Q11" s="3">
        <v>3915.38</v>
      </c>
      <c r="R11" s="3" t="s">
        <v>56</v>
      </c>
      <c r="S11" s="3" t="s">
        <v>93</v>
      </c>
      <c r="T11" s="3">
        <v>5044.3900000000003</v>
      </c>
      <c r="U11" s="3" t="s">
        <v>58</v>
      </c>
      <c r="V11" s="3" t="str">
        <f t="shared" si="0"/>
        <v>Flag</v>
      </c>
      <c r="W11" s="3" t="str">
        <f t="shared" si="1"/>
        <v>Flag</v>
      </c>
      <c r="X11" s="3" t="str">
        <f t="shared" si="2"/>
        <v>OK</v>
      </c>
      <c r="Y11" s="3" t="str">
        <f t="shared" si="3"/>
        <v>OK</v>
      </c>
      <c r="Z11" s="3">
        <f t="shared" si="4"/>
        <v>2</v>
      </c>
      <c r="AA11" s="3" t="str">
        <f t="shared" si="5"/>
        <v>High</v>
      </c>
    </row>
    <row r="12" spans="1:27">
      <c r="A12" s="3">
        <v>46087</v>
      </c>
      <c r="B12" s="3" t="s">
        <v>94</v>
      </c>
      <c r="C12" s="3" t="s">
        <v>95</v>
      </c>
      <c r="D12" s="3" t="s">
        <v>80</v>
      </c>
      <c r="E12" s="3" t="s">
        <v>88</v>
      </c>
      <c r="F12" s="3" t="s">
        <v>67</v>
      </c>
      <c r="G12" s="3" t="s">
        <v>55</v>
      </c>
      <c r="H12" s="3">
        <v>80</v>
      </c>
      <c r="I12" s="3">
        <v>0</v>
      </c>
      <c r="J12" s="3">
        <v>44.23</v>
      </c>
      <c r="K12" s="3">
        <v>0</v>
      </c>
      <c r="L12" s="3">
        <v>3538.46</v>
      </c>
      <c r="M12" s="3">
        <v>778.46</v>
      </c>
      <c r="N12" s="3">
        <v>310</v>
      </c>
      <c r="O12" s="3">
        <v>2450</v>
      </c>
      <c r="P12" s="3">
        <v>310</v>
      </c>
      <c r="Q12" s="3">
        <v>3741.67</v>
      </c>
      <c r="R12" s="3" t="s">
        <v>56</v>
      </c>
      <c r="S12" s="3" t="s">
        <v>57</v>
      </c>
      <c r="T12" s="3">
        <v>3538.46</v>
      </c>
      <c r="U12" s="3" t="s">
        <v>58</v>
      </c>
      <c r="V12" s="3" t="str">
        <f t="shared" si="0"/>
        <v>OK</v>
      </c>
      <c r="W12" s="3" t="str">
        <f t="shared" si="1"/>
        <v>OK</v>
      </c>
      <c r="X12" s="3" t="str">
        <f t="shared" si="2"/>
        <v>OK</v>
      </c>
      <c r="Y12" s="3" t="str">
        <f t="shared" si="3"/>
        <v>OK</v>
      </c>
      <c r="Z12" s="3">
        <f t="shared" si="4"/>
        <v>0</v>
      </c>
      <c r="AA12" s="3" t="str">
        <f t="shared" si="5"/>
        <v>Low</v>
      </c>
    </row>
    <row r="13" spans="1:27">
      <c r="A13" s="3">
        <v>46087</v>
      </c>
      <c r="B13" s="3" t="s">
        <v>96</v>
      </c>
      <c r="C13" s="3" t="s">
        <v>97</v>
      </c>
      <c r="D13" s="3" t="s">
        <v>80</v>
      </c>
      <c r="E13" s="3" t="s">
        <v>88</v>
      </c>
      <c r="F13" s="3" t="s">
        <v>77</v>
      </c>
      <c r="G13" s="3" t="s">
        <v>55</v>
      </c>
      <c r="H13" s="3">
        <v>80</v>
      </c>
      <c r="I13" s="3">
        <v>4</v>
      </c>
      <c r="J13" s="3">
        <v>52.88</v>
      </c>
      <c r="K13" s="3">
        <v>0</v>
      </c>
      <c r="L13" s="3">
        <v>4548.05</v>
      </c>
      <c r="M13" s="3">
        <v>1000.57</v>
      </c>
      <c r="N13" s="3">
        <v>185</v>
      </c>
      <c r="O13" s="3">
        <v>3362.48</v>
      </c>
      <c r="P13" s="3">
        <v>185</v>
      </c>
      <c r="Q13" s="3">
        <v>4661.2299999999996</v>
      </c>
      <c r="R13" s="3" t="s">
        <v>56</v>
      </c>
      <c r="S13" s="3" t="s">
        <v>57</v>
      </c>
      <c r="T13" s="3">
        <v>4548.05</v>
      </c>
      <c r="U13" s="3" t="s">
        <v>58</v>
      </c>
      <c r="V13" s="3" t="str">
        <f t="shared" si="0"/>
        <v>OK</v>
      </c>
      <c r="W13" s="3" t="str">
        <f t="shared" si="1"/>
        <v>OK</v>
      </c>
      <c r="X13" s="3" t="str">
        <f t="shared" si="2"/>
        <v>OK</v>
      </c>
      <c r="Y13" s="3" t="str">
        <f t="shared" si="3"/>
        <v>OK</v>
      </c>
      <c r="Z13" s="3">
        <f t="shared" si="4"/>
        <v>0</v>
      </c>
      <c r="AA13" s="3" t="str">
        <f t="shared" si="5"/>
        <v>Low</v>
      </c>
    </row>
    <row r="14" spans="1:27">
      <c r="A14" s="3">
        <v>46087</v>
      </c>
      <c r="B14" s="3" t="s">
        <v>98</v>
      </c>
      <c r="C14" s="3" t="s">
        <v>99</v>
      </c>
      <c r="D14" s="3" t="s">
        <v>100</v>
      </c>
      <c r="E14" s="3" t="s">
        <v>101</v>
      </c>
      <c r="F14" s="3" t="s">
        <v>102</v>
      </c>
      <c r="G14" s="3" t="s">
        <v>55</v>
      </c>
      <c r="H14" s="3">
        <v>80</v>
      </c>
      <c r="I14" s="3">
        <v>4</v>
      </c>
      <c r="J14" s="3">
        <v>60.58</v>
      </c>
      <c r="K14" s="3">
        <v>0</v>
      </c>
      <c r="L14" s="3">
        <v>5209.63</v>
      </c>
      <c r="M14" s="3">
        <v>1146.1199999999999</v>
      </c>
      <c r="N14" s="3">
        <v>310</v>
      </c>
      <c r="O14" s="3">
        <v>3753.51</v>
      </c>
      <c r="P14" s="3">
        <v>310</v>
      </c>
      <c r="Q14" s="3">
        <v>5265.61</v>
      </c>
      <c r="R14" s="3" t="s">
        <v>103</v>
      </c>
      <c r="S14" s="3" t="s">
        <v>104</v>
      </c>
      <c r="T14" s="3">
        <v>0</v>
      </c>
      <c r="U14" s="3" t="s">
        <v>105</v>
      </c>
      <c r="V14" s="3" t="str">
        <f t="shared" si="0"/>
        <v>OK</v>
      </c>
      <c r="W14" s="3" t="str">
        <f t="shared" si="1"/>
        <v>OK</v>
      </c>
      <c r="X14" s="3" t="str">
        <f t="shared" si="2"/>
        <v>OK</v>
      </c>
      <c r="Y14" s="3" t="str">
        <f t="shared" si="3"/>
        <v>OK</v>
      </c>
      <c r="Z14" s="3">
        <f t="shared" si="4"/>
        <v>0</v>
      </c>
      <c r="AA14" s="3" t="str">
        <f t="shared" si="5"/>
        <v>Low</v>
      </c>
    </row>
    <row r="15" spans="1:27">
      <c r="A15" s="3">
        <v>46087</v>
      </c>
      <c r="B15" s="3" t="s">
        <v>106</v>
      </c>
      <c r="C15" s="3" t="s">
        <v>107</v>
      </c>
      <c r="D15" s="3" t="s">
        <v>108</v>
      </c>
      <c r="E15" s="3" t="s">
        <v>109</v>
      </c>
      <c r="F15" s="3" t="s">
        <v>110</v>
      </c>
      <c r="G15" s="3" t="s">
        <v>55</v>
      </c>
      <c r="H15" s="3">
        <v>80</v>
      </c>
      <c r="I15" s="3">
        <v>2</v>
      </c>
      <c r="J15" s="3">
        <v>34.130000000000003</v>
      </c>
      <c r="K15" s="3">
        <v>0</v>
      </c>
      <c r="L15" s="3">
        <v>2833.16</v>
      </c>
      <c r="M15" s="3">
        <v>623.29999999999995</v>
      </c>
      <c r="N15" s="3">
        <v>0</v>
      </c>
      <c r="O15" s="3">
        <v>2209.86</v>
      </c>
      <c r="P15" s="3">
        <v>0</v>
      </c>
      <c r="Q15" s="3">
        <v>3231.8</v>
      </c>
      <c r="R15" s="3" t="s">
        <v>103</v>
      </c>
      <c r="S15" s="3" t="s">
        <v>104</v>
      </c>
      <c r="T15" s="3">
        <v>0</v>
      </c>
      <c r="U15" s="3" t="s">
        <v>105</v>
      </c>
      <c r="V15" s="3" t="str">
        <f t="shared" si="0"/>
        <v>OK</v>
      </c>
      <c r="W15" s="3" t="str">
        <f t="shared" si="1"/>
        <v>OK</v>
      </c>
      <c r="X15" s="3" t="str">
        <f t="shared" si="2"/>
        <v>OK</v>
      </c>
      <c r="Y15" s="3" t="str">
        <f t="shared" si="3"/>
        <v>OK</v>
      </c>
      <c r="Z15" s="3">
        <f t="shared" si="4"/>
        <v>0</v>
      </c>
      <c r="AA15" s="3" t="str">
        <f t="shared" si="5"/>
        <v>Low</v>
      </c>
    </row>
    <row r="16" spans="1:27">
      <c r="A16" s="3">
        <v>46087</v>
      </c>
      <c r="B16" s="3" t="s">
        <v>111</v>
      </c>
      <c r="C16" s="3" t="s">
        <v>112</v>
      </c>
      <c r="D16" s="3" t="s">
        <v>52</v>
      </c>
      <c r="E16" s="3" t="s">
        <v>113</v>
      </c>
      <c r="F16" s="3" t="s">
        <v>62</v>
      </c>
      <c r="G16" s="3" t="s">
        <v>55</v>
      </c>
      <c r="H16" s="3">
        <v>80</v>
      </c>
      <c r="I16" s="3">
        <v>4</v>
      </c>
      <c r="J16" s="3">
        <v>57.21</v>
      </c>
      <c r="K16" s="3">
        <v>0</v>
      </c>
      <c r="L16" s="3">
        <v>4920.18</v>
      </c>
      <c r="M16" s="3">
        <v>1082.44</v>
      </c>
      <c r="N16" s="3">
        <v>0</v>
      </c>
      <c r="O16" s="3">
        <v>3837.74</v>
      </c>
      <c r="P16" s="3">
        <v>310</v>
      </c>
      <c r="Q16" s="3">
        <v>4945.68</v>
      </c>
      <c r="R16" s="3" t="s">
        <v>56</v>
      </c>
      <c r="S16" s="3" t="s">
        <v>114</v>
      </c>
      <c r="T16" s="3">
        <v>4920.18</v>
      </c>
      <c r="U16" s="3" t="s">
        <v>58</v>
      </c>
      <c r="V16" s="3" t="str">
        <f t="shared" si="0"/>
        <v>OK</v>
      </c>
      <c r="W16" s="3" t="str">
        <f t="shared" si="1"/>
        <v>OK</v>
      </c>
      <c r="X16" s="3" t="str">
        <f t="shared" si="2"/>
        <v>OK</v>
      </c>
      <c r="Y16" s="3" t="str">
        <f t="shared" si="3"/>
        <v>OK</v>
      </c>
      <c r="Z16" s="3">
        <f t="shared" si="4"/>
        <v>0</v>
      </c>
      <c r="AA16" s="3" t="str">
        <f t="shared" si="5"/>
        <v>Low</v>
      </c>
    </row>
    <row r="17" spans="1:27">
      <c r="A17" s="3">
        <v>46087</v>
      </c>
      <c r="B17" s="3" t="s">
        <v>115</v>
      </c>
      <c r="C17" s="3" t="s">
        <v>116</v>
      </c>
      <c r="D17" s="3" t="s">
        <v>52</v>
      </c>
      <c r="E17" s="3" t="s">
        <v>61</v>
      </c>
      <c r="F17" s="3" t="s">
        <v>117</v>
      </c>
      <c r="G17" s="3" t="s">
        <v>55</v>
      </c>
      <c r="H17" s="3">
        <v>80</v>
      </c>
      <c r="I17" s="3">
        <v>8</v>
      </c>
      <c r="J17" s="3">
        <v>45.67</v>
      </c>
      <c r="K17" s="3">
        <v>0</v>
      </c>
      <c r="L17" s="3">
        <v>4201.8900000000003</v>
      </c>
      <c r="M17" s="3">
        <v>924.42</v>
      </c>
      <c r="N17" s="3">
        <v>185</v>
      </c>
      <c r="O17" s="3">
        <v>3092.47</v>
      </c>
      <c r="P17" s="3">
        <v>185</v>
      </c>
      <c r="Q17" s="3">
        <v>4091.38</v>
      </c>
      <c r="R17" s="3" t="s">
        <v>103</v>
      </c>
      <c r="S17" s="3" t="s">
        <v>104</v>
      </c>
      <c r="T17" s="3">
        <v>0</v>
      </c>
      <c r="U17" s="3" t="s">
        <v>105</v>
      </c>
      <c r="V17" s="3" t="str">
        <f t="shared" si="0"/>
        <v>OK</v>
      </c>
      <c r="W17" s="3" t="str">
        <f t="shared" si="1"/>
        <v>OK</v>
      </c>
      <c r="X17" s="3" t="str">
        <f t="shared" si="2"/>
        <v>OK</v>
      </c>
      <c r="Y17" s="3" t="str">
        <f t="shared" si="3"/>
        <v>OK</v>
      </c>
      <c r="Z17" s="3">
        <f t="shared" si="4"/>
        <v>0</v>
      </c>
      <c r="AA17" s="3" t="str">
        <f t="shared" si="5"/>
        <v>Low</v>
      </c>
    </row>
    <row r="18" spans="1:27">
      <c r="A18" s="3">
        <v>46087</v>
      </c>
      <c r="B18" s="3" t="s">
        <v>118</v>
      </c>
      <c r="C18" s="3" t="s">
        <v>119</v>
      </c>
      <c r="D18" s="3" t="s">
        <v>108</v>
      </c>
      <c r="E18" s="3" t="s">
        <v>109</v>
      </c>
      <c r="F18" s="3" t="s">
        <v>54</v>
      </c>
      <c r="G18" s="3" t="s">
        <v>55</v>
      </c>
      <c r="H18" s="3">
        <v>80</v>
      </c>
      <c r="I18" s="3">
        <v>6</v>
      </c>
      <c r="J18" s="3">
        <v>35.58</v>
      </c>
      <c r="K18" s="3">
        <v>250</v>
      </c>
      <c r="L18" s="3">
        <v>3416.37</v>
      </c>
      <c r="M18" s="3">
        <v>751.6</v>
      </c>
      <c r="N18" s="3">
        <v>0</v>
      </c>
      <c r="O18" s="3">
        <v>2664.77</v>
      </c>
      <c r="P18" s="3">
        <v>0</v>
      </c>
      <c r="Q18" s="3">
        <v>3046.65</v>
      </c>
      <c r="R18" s="3" t="s">
        <v>56</v>
      </c>
      <c r="S18" s="3" t="s">
        <v>57</v>
      </c>
      <c r="T18" s="3">
        <v>3416.37</v>
      </c>
      <c r="U18" s="3" t="s">
        <v>58</v>
      </c>
      <c r="V18" s="3" t="str">
        <f t="shared" si="0"/>
        <v>OK</v>
      </c>
      <c r="W18" s="3" t="str">
        <f t="shared" si="1"/>
        <v>OK</v>
      </c>
      <c r="X18" s="3" t="str">
        <f t="shared" si="2"/>
        <v>OK</v>
      </c>
      <c r="Y18" s="3" t="str">
        <f t="shared" si="3"/>
        <v>OK</v>
      </c>
      <c r="Z18" s="3">
        <f t="shared" si="4"/>
        <v>0</v>
      </c>
      <c r="AA18" s="3" t="str">
        <f t="shared" si="5"/>
        <v>Low</v>
      </c>
    </row>
    <row r="19" spans="1:27">
      <c r="A19" s="3">
        <v>46087</v>
      </c>
      <c r="B19" s="3" t="s">
        <v>120</v>
      </c>
      <c r="C19" s="3" t="s">
        <v>121</v>
      </c>
      <c r="D19" s="3" t="s">
        <v>91</v>
      </c>
      <c r="E19" s="3" t="s">
        <v>92</v>
      </c>
      <c r="F19" s="3" t="s">
        <v>122</v>
      </c>
      <c r="G19" s="3" t="s">
        <v>55</v>
      </c>
      <c r="H19" s="3">
        <v>80</v>
      </c>
      <c r="I19" s="3">
        <v>8</v>
      </c>
      <c r="J19" s="3">
        <v>58.17</v>
      </c>
      <c r="K19" s="3">
        <v>0</v>
      </c>
      <c r="L19" s="3">
        <v>5351.89</v>
      </c>
      <c r="M19" s="3">
        <v>1177.42</v>
      </c>
      <c r="N19" s="3">
        <v>0</v>
      </c>
      <c r="O19" s="3">
        <v>4174.47</v>
      </c>
      <c r="P19" s="3">
        <v>0</v>
      </c>
      <c r="Q19" s="3">
        <v>5438.12</v>
      </c>
      <c r="R19" s="3" t="s">
        <v>56</v>
      </c>
      <c r="S19" s="3" t="s">
        <v>57</v>
      </c>
      <c r="T19" s="3">
        <v>5351.89</v>
      </c>
      <c r="U19" s="3" t="s">
        <v>58</v>
      </c>
      <c r="V19" s="3" t="str">
        <f t="shared" si="0"/>
        <v>OK</v>
      </c>
      <c r="W19" s="3" t="str">
        <f t="shared" si="1"/>
        <v>OK</v>
      </c>
      <c r="X19" s="3" t="str">
        <f t="shared" si="2"/>
        <v>OK</v>
      </c>
      <c r="Y19" s="3" t="str">
        <f t="shared" si="3"/>
        <v>OK</v>
      </c>
      <c r="Z19" s="3">
        <f t="shared" si="4"/>
        <v>0</v>
      </c>
      <c r="AA19" s="3" t="str">
        <f t="shared" si="5"/>
        <v>Low</v>
      </c>
    </row>
    <row r="20" spans="1:27">
      <c r="A20" s="3">
        <v>46087</v>
      </c>
      <c r="B20" s="3" t="s">
        <v>123</v>
      </c>
      <c r="C20" s="3" t="s">
        <v>124</v>
      </c>
      <c r="D20" s="3" t="s">
        <v>108</v>
      </c>
      <c r="E20" s="3" t="s">
        <v>109</v>
      </c>
      <c r="F20" s="3" t="s">
        <v>84</v>
      </c>
      <c r="G20" s="3" t="s">
        <v>55</v>
      </c>
      <c r="H20" s="3">
        <v>80</v>
      </c>
      <c r="I20" s="3">
        <v>0</v>
      </c>
      <c r="J20" s="3">
        <v>43.75</v>
      </c>
      <c r="K20" s="3">
        <v>0</v>
      </c>
      <c r="L20" s="3">
        <v>3500</v>
      </c>
      <c r="M20" s="3">
        <v>770</v>
      </c>
      <c r="N20" s="3">
        <v>185</v>
      </c>
      <c r="O20" s="3">
        <v>2545</v>
      </c>
      <c r="P20" s="3">
        <v>185</v>
      </c>
      <c r="Q20" s="3">
        <v>3722.12</v>
      </c>
      <c r="R20" s="3" t="s">
        <v>103</v>
      </c>
      <c r="S20" s="3" t="s">
        <v>104</v>
      </c>
      <c r="T20" s="3">
        <v>0</v>
      </c>
      <c r="U20" s="3" t="s">
        <v>105</v>
      </c>
      <c r="V20" s="3" t="str">
        <f t="shared" si="0"/>
        <v>OK</v>
      </c>
      <c r="W20" s="3" t="str">
        <f t="shared" si="1"/>
        <v>OK</v>
      </c>
      <c r="X20" s="3" t="str">
        <f t="shared" si="2"/>
        <v>OK</v>
      </c>
      <c r="Y20" s="3" t="str">
        <f t="shared" si="3"/>
        <v>OK</v>
      </c>
      <c r="Z20" s="3">
        <f t="shared" si="4"/>
        <v>0</v>
      </c>
      <c r="AA20" s="3" t="str">
        <f t="shared" si="5"/>
        <v>Low</v>
      </c>
    </row>
    <row r="21" spans="1:27">
      <c r="A21" s="3">
        <v>46087</v>
      </c>
      <c r="B21" s="3" t="s">
        <v>125</v>
      </c>
      <c r="C21" s="3" t="s">
        <v>126</v>
      </c>
      <c r="D21" s="3" t="s">
        <v>52</v>
      </c>
      <c r="E21" s="3" t="s">
        <v>53</v>
      </c>
      <c r="F21" s="3" t="s">
        <v>77</v>
      </c>
      <c r="G21" s="3" t="s">
        <v>55</v>
      </c>
      <c r="H21" s="3">
        <v>80</v>
      </c>
      <c r="I21" s="3">
        <v>2</v>
      </c>
      <c r="J21" s="3">
        <v>57.69</v>
      </c>
      <c r="K21" s="3">
        <v>0</v>
      </c>
      <c r="L21" s="3">
        <v>4788.45</v>
      </c>
      <c r="M21" s="3">
        <v>1053.46</v>
      </c>
      <c r="N21" s="3">
        <v>185</v>
      </c>
      <c r="O21" s="3">
        <v>3549.99</v>
      </c>
      <c r="P21" s="3">
        <v>185</v>
      </c>
      <c r="Q21" s="3">
        <v>5101.1499999999996</v>
      </c>
      <c r="R21" s="3" t="s">
        <v>56</v>
      </c>
      <c r="S21" s="3" t="s">
        <v>57</v>
      </c>
      <c r="T21" s="3">
        <v>4788.45</v>
      </c>
      <c r="U21" s="3" t="s">
        <v>58</v>
      </c>
      <c r="V21" s="3" t="str">
        <f t="shared" si="0"/>
        <v>OK</v>
      </c>
      <c r="W21" s="3" t="str">
        <f t="shared" si="1"/>
        <v>OK</v>
      </c>
      <c r="X21" s="3" t="str">
        <f t="shared" si="2"/>
        <v>OK</v>
      </c>
      <c r="Y21" s="3" t="str">
        <f t="shared" si="3"/>
        <v>OK</v>
      </c>
      <c r="Z21" s="3">
        <f t="shared" si="4"/>
        <v>0</v>
      </c>
      <c r="AA21" s="3" t="str">
        <f t="shared" si="5"/>
        <v>Low</v>
      </c>
    </row>
    <row r="22" spans="1:27">
      <c r="A22" s="3">
        <v>46087</v>
      </c>
      <c r="B22" s="3" t="s">
        <v>127</v>
      </c>
      <c r="C22" s="3" t="s">
        <v>128</v>
      </c>
      <c r="D22" s="3" t="s">
        <v>129</v>
      </c>
      <c r="E22" s="3" t="s">
        <v>130</v>
      </c>
      <c r="F22" s="3" t="s">
        <v>117</v>
      </c>
      <c r="G22" s="3" t="s">
        <v>55</v>
      </c>
      <c r="H22" s="3">
        <v>80</v>
      </c>
      <c r="I22" s="3">
        <v>0</v>
      </c>
      <c r="J22" s="3">
        <v>37.979999999999997</v>
      </c>
      <c r="K22" s="3">
        <v>250</v>
      </c>
      <c r="L22" s="3">
        <v>3288.46</v>
      </c>
      <c r="M22" s="3">
        <v>723.46</v>
      </c>
      <c r="N22" s="3">
        <v>0</v>
      </c>
      <c r="O22" s="3">
        <v>2565</v>
      </c>
      <c r="P22" s="3">
        <v>0</v>
      </c>
      <c r="Q22" s="3">
        <v>3229.55</v>
      </c>
      <c r="R22" s="3" t="s">
        <v>103</v>
      </c>
      <c r="S22" s="3" t="s">
        <v>104</v>
      </c>
      <c r="T22" s="3">
        <v>0</v>
      </c>
      <c r="U22" s="3" t="s">
        <v>105</v>
      </c>
      <c r="V22" s="3" t="str">
        <f t="shared" si="0"/>
        <v>OK</v>
      </c>
      <c r="W22" s="3" t="str">
        <f t="shared" si="1"/>
        <v>OK</v>
      </c>
      <c r="X22" s="3" t="str">
        <f t="shared" si="2"/>
        <v>OK</v>
      </c>
      <c r="Y22" s="3" t="str">
        <f t="shared" si="3"/>
        <v>OK</v>
      </c>
      <c r="Z22" s="3">
        <f t="shared" si="4"/>
        <v>0</v>
      </c>
      <c r="AA22" s="3" t="str">
        <f t="shared" si="5"/>
        <v>Low</v>
      </c>
    </row>
    <row r="23" spans="1:27">
      <c r="A23" s="3">
        <v>46087</v>
      </c>
      <c r="B23" s="3" t="s">
        <v>131</v>
      </c>
      <c r="C23" s="3" t="s">
        <v>132</v>
      </c>
      <c r="D23" s="3" t="s">
        <v>133</v>
      </c>
      <c r="E23" s="3" t="s">
        <v>134</v>
      </c>
      <c r="F23" s="3" t="s">
        <v>122</v>
      </c>
      <c r="G23" s="3" t="s">
        <v>68</v>
      </c>
      <c r="H23" s="3">
        <v>80</v>
      </c>
      <c r="I23" s="3">
        <v>0</v>
      </c>
      <c r="J23" s="3">
        <v>56.73</v>
      </c>
      <c r="K23" s="3">
        <v>500</v>
      </c>
      <c r="L23" s="3">
        <v>5038.46</v>
      </c>
      <c r="M23" s="3">
        <v>1108.46</v>
      </c>
      <c r="N23" s="3">
        <v>310</v>
      </c>
      <c r="O23" s="3">
        <v>3620</v>
      </c>
      <c r="P23" s="3">
        <v>310</v>
      </c>
      <c r="Q23" s="3">
        <v>4844.57</v>
      </c>
      <c r="R23" s="3" t="s">
        <v>56</v>
      </c>
      <c r="S23" s="3" t="s">
        <v>69</v>
      </c>
      <c r="T23" s="3">
        <v>5038.46</v>
      </c>
      <c r="U23" s="3" t="s">
        <v>58</v>
      </c>
      <c r="V23" s="3" t="str">
        <f t="shared" si="0"/>
        <v>OK</v>
      </c>
      <c r="W23" s="3" t="str">
        <f t="shared" si="1"/>
        <v>OK</v>
      </c>
      <c r="X23" s="3" t="str">
        <f t="shared" si="2"/>
        <v>Flag</v>
      </c>
      <c r="Y23" s="3" t="str">
        <f t="shared" si="3"/>
        <v>OK</v>
      </c>
      <c r="Z23" s="3">
        <f t="shared" si="4"/>
        <v>1</v>
      </c>
      <c r="AA23" s="3" t="str">
        <f t="shared" si="5"/>
        <v>Medium</v>
      </c>
    </row>
    <row r="24" spans="1:27">
      <c r="A24" s="3">
        <v>46087</v>
      </c>
      <c r="B24" s="3" t="s">
        <v>135</v>
      </c>
      <c r="C24" s="3" t="s">
        <v>136</v>
      </c>
      <c r="D24" s="3" t="s">
        <v>52</v>
      </c>
      <c r="E24" s="3" t="s">
        <v>113</v>
      </c>
      <c r="F24" s="3" t="s">
        <v>110</v>
      </c>
      <c r="G24" s="3" t="s">
        <v>55</v>
      </c>
      <c r="H24" s="3">
        <v>80</v>
      </c>
      <c r="I24" s="3">
        <v>8</v>
      </c>
      <c r="J24" s="3">
        <v>38.94</v>
      </c>
      <c r="K24" s="3">
        <v>500</v>
      </c>
      <c r="L24" s="3">
        <v>4082.66</v>
      </c>
      <c r="M24" s="3">
        <v>898.19</v>
      </c>
      <c r="N24" s="3">
        <v>0</v>
      </c>
      <c r="O24" s="3">
        <v>3184.47</v>
      </c>
      <c r="P24" s="3">
        <v>0</v>
      </c>
      <c r="Q24" s="3">
        <v>3465.45</v>
      </c>
      <c r="R24" s="3" t="s">
        <v>103</v>
      </c>
      <c r="S24" s="3" t="s">
        <v>104</v>
      </c>
      <c r="T24" s="3">
        <v>0</v>
      </c>
      <c r="U24" s="3" t="s">
        <v>105</v>
      </c>
      <c r="V24" s="3" t="str">
        <f t="shared" si="0"/>
        <v>Flag</v>
      </c>
      <c r="W24" s="3" t="str">
        <f t="shared" si="1"/>
        <v>OK</v>
      </c>
      <c r="X24" s="3" t="str">
        <f t="shared" si="2"/>
        <v>OK</v>
      </c>
      <c r="Y24" s="3" t="str">
        <f t="shared" si="3"/>
        <v>OK</v>
      </c>
      <c r="Z24" s="3">
        <f t="shared" si="4"/>
        <v>1</v>
      </c>
      <c r="AA24" s="3" t="str">
        <f t="shared" si="5"/>
        <v>Medium</v>
      </c>
    </row>
    <row r="25" spans="1:27">
      <c r="A25" s="3">
        <v>46087</v>
      </c>
      <c r="B25" s="3" t="s">
        <v>137</v>
      </c>
      <c r="C25" s="3" t="s">
        <v>138</v>
      </c>
      <c r="D25" s="3" t="s">
        <v>65</v>
      </c>
      <c r="E25" s="3" t="s">
        <v>72</v>
      </c>
      <c r="F25" s="3" t="s">
        <v>84</v>
      </c>
      <c r="G25" s="3" t="s">
        <v>55</v>
      </c>
      <c r="H25" s="3">
        <v>80</v>
      </c>
      <c r="I25" s="3">
        <v>0</v>
      </c>
      <c r="J25" s="3">
        <v>45.19</v>
      </c>
      <c r="K25" s="3">
        <v>0</v>
      </c>
      <c r="L25" s="3">
        <v>3615.38</v>
      </c>
      <c r="M25" s="3">
        <v>795.38</v>
      </c>
      <c r="N25" s="3">
        <v>185</v>
      </c>
      <c r="O25" s="3">
        <v>2635</v>
      </c>
      <c r="P25" s="3">
        <v>185</v>
      </c>
      <c r="Q25" s="3">
        <v>4236.99</v>
      </c>
      <c r="R25" s="3" t="s">
        <v>103</v>
      </c>
      <c r="S25" s="3" t="s">
        <v>104</v>
      </c>
      <c r="T25" s="3">
        <v>0</v>
      </c>
      <c r="U25" s="3" t="s">
        <v>105</v>
      </c>
      <c r="V25" s="3" t="str">
        <f t="shared" si="0"/>
        <v>Flag</v>
      </c>
      <c r="W25" s="3" t="str">
        <f t="shared" si="1"/>
        <v>OK</v>
      </c>
      <c r="X25" s="3" t="str">
        <f t="shared" si="2"/>
        <v>OK</v>
      </c>
      <c r="Y25" s="3" t="str">
        <f t="shared" si="3"/>
        <v>OK</v>
      </c>
      <c r="Z25" s="3">
        <f t="shared" si="4"/>
        <v>1</v>
      </c>
      <c r="AA25" s="3" t="str">
        <f t="shared" si="5"/>
        <v>Medium</v>
      </c>
    </row>
    <row r="26" spans="1:27">
      <c r="A26" s="3">
        <v>46087</v>
      </c>
      <c r="B26" s="3" t="s">
        <v>139</v>
      </c>
      <c r="C26" s="3" t="s">
        <v>140</v>
      </c>
      <c r="D26" s="3" t="s">
        <v>108</v>
      </c>
      <c r="E26" s="3" t="s">
        <v>109</v>
      </c>
      <c r="F26" s="3" t="s">
        <v>117</v>
      </c>
      <c r="G26" s="3" t="s">
        <v>55</v>
      </c>
      <c r="H26" s="3">
        <v>80</v>
      </c>
      <c r="I26" s="3">
        <v>0</v>
      </c>
      <c r="J26" s="3">
        <v>60.1</v>
      </c>
      <c r="K26" s="3">
        <v>500</v>
      </c>
      <c r="L26" s="3">
        <v>5307.69</v>
      </c>
      <c r="M26" s="3">
        <v>1167.69</v>
      </c>
      <c r="N26" s="3">
        <v>0</v>
      </c>
      <c r="O26" s="3">
        <v>4390</v>
      </c>
      <c r="P26" s="3">
        <v>0</v>
      </c>
      <c r="Q26" s="3">
        <v>5376.02</v>
      </c>
      <c r="R26" s="3" t="s">
        <v>56</v>
      </c>
      <c r="S26" s="3" t="s">
        <v>141</v>
      </c>
      <c r="T26" s="3">
        <v>5307.69</v>
      </c>
      <c r="U26" s="3" t="s">
        <v>58</v>
      </c>
      <c r="V26" s="3" t="str">
        <f t="shared" si="0"/>
        <v>OK</v>
      </c>
      <c r="W26" s="3" t="str">
        <f t="shared" si="1"/>
        <v>OK</v>
      </c>
      <c r="X26" s="3" t="str">
        <f t="shared" si="2"/>
        <v>OK</v>
      </c>
      <c r="Y26" s="3" t="str">
        <f t="shared" si="3"/>
        <v>Mismatch</v>
      </c>
      <c r="Z26" s="3">
        <f t="shared" si="4"/>
        <v>1</v>
      </c>
      <c r="AA26" s="3" t="str">
        <f t="shared" si="5"/>
        <v>Medium</v>
      </c>
    </row>
    <row r="27" spans="1:27">
      <c r="A27" s="3">
        <v>46087</v>
      </c>
      <c r="B27" s="3" t="s">
        <v>142</v>
      </c>
      <c r="C27" s="3" t="s">
        <v>143</v>
      </c>
      <c r="D27" s="3" t="s">
        <v>108</v>
      </c>
      <c r="E27" s="3" t="s">
        <v>144</v>
      </c>
      <c r="F27" s="3" t="s">
        <v>67</v>
      </c>
      <c r="G27" s="3" t="s">
        <v>55</v>
      </c>
      <c r="H27" s="3">
        <v>80</v>
      </c>
      <c r="I27" s="3">
        <v>8</v>
      </c>
      <c r="J27" s="3">
        <v>30.77</v>
      </c>
      <c r="K27" s="3">
        <v>500</v>
      </c>
      <c r="L27" s="3">
        <v>3330.78</v>
      </c>
      <c r="M27" s="3">
        <v>732.77</v>
      </c>
      <c r="N27" s="3">
        <v>0</v>
      </c>
      <c r="O27" s="3">
        <v>2598.0100000000002</v>
      </c>
      <c r="P27" s="3">
        <v>0</v>
      </c>
      <c r="Q27" s="3">
        <v>2755.56</v>
      </c>
      <c r="R27" s="3" t="s">
        <v>56</v>
      </c>
      <c r="S27" s="3" t="s">
        <v>57</v>
      </c>
      <c r="T27" s="3">
        <v>3330.78</v>
      </c>
      <c r="U27" s="3" t="s">
        <v>58</v>
      </c>
      <c r="V27" s="3" t="str">
        <f t="shared" si="0"/>
        <v>Flag</v>
      </c>
      <c r="W27" s="3" t="str">
        <f t="shared" si="1"/>
        <v>OK</v>
      </c>
      <c r="X27" s="3" t="str">
        <f t="shared" si="2"/>
        <v>OK</v>
      </c>
      <c r="Y27" s="3" t="str">
        <f t="shared" si="3"/>
        <v>OK</v>
      </c>
      <c r="Z27" s="3">
        <f t="shared" si="4"/>
        <v>1</v>
      </c>
      <c r="AA27" s="3" t="str">
        <f t="shared" si="5"/>
        <v>Medium</v>
      </c>
    </row>
    <row r="28" spans="1:27">
      <c r="A28" s="3">
        <v>46087</v>
      </c>
      <c r="B28" s="3" t="s">
        <v>145</v>
      </c>
      <c r="C28" s="3" t="s">
        <v>146</v>
      </c>
      <c r="D28" s="3" t="s">
        <v>133</v>
      </c>
      <c r="E28" s="3" t="s">
        <v>147</v>
      </c>
      <c r="F28" s="3" t="s">
        <v>110</v>
      </c>
      <c r="G28" s="3" t="s">
        <v>55</v>
      </c>
      <c r="H28" s="3">
        <v>80</v>
      </c>
      <c r="I28" s="3">
        <v>6</v>
      </c>
      <c r="J28" s="3">
        <v>28.37</v>
      </c>
      <c r="K28" s="3">
        <v>0</v>
      </c>
      <c r="L28" s="3">
        <v>2524.56</v>
      </c>
      <c r="M28" s="3">
        <v>555.4</v>
      </c>
      <c r="N28" s="3">
        <v>310</v>
      </c>
      <c r="O28" s="3">
        <v>1659.16</v>
      </c>
      <c r="P28" s="3">
        <v>310</v>
      </c>
      <c r="Q28" s="3">
        <v>2511.63</v>
      </c>
      <c r="R28" s="3" t="s">
        <v>103</v>
      </c>
      <c r="S28" s="3" t="s">
        <v>104</v>
      </c>
      <c r="T28" s="3">
        <v>0</v>
      </c>
      <c r="U28" s="3" t="s">
        <v>105</v>
      </c>
      <c r="V28" s="3" t="str">
        <f t="shared" si="0"/>
        <v>OK</v>
      </c>
      <c r="W28" s="3" t="str">
        <f t="shared" si="1"/>
        <v>OK</v>
      </c>
      <c r="X28" s="3" t="str">
        <f t="shared" si="2"/>
        <v>OK</v>
      </c>
      <c r="Y28" s="3" t="str">
        <f t="shared" si="3"/>
        <v>OK</v>
      </c>
      <c r="Z28" s="3">
        <f t="shared" si="4"/>
        <v>0</v>
      </c>
      <c r="AA28" s="3" t="str">
        <f t="shared" si="5"/>
        <v>Low</v>
      </c>
    </row>
    <row r="29" spans="1:27">
      <c r="A29" s="3">
        <v>46087</v>
      </c>
      <c r="B29" s="3" t="s">
        <v>148</v>
      </c>
      <c r="C29" s="3" t="s">
        <v>149</v>
      </c>
      <c r="D29" s="3" t="s">
        <v>91</v>
      </c>
      <c r="E29" s="3" t="s">
        <v>92</v>
      </c>
      <c r="F29" s="3" t="s">
        <v>117</v>
      </c>
      <c r="G29" s="3" t="s">
        <v>55</v>
      </c>
      <c r="H29" s="3">
        <v>80</v>
      </c>
      <c r="I29" s="3">
        <v>0</v>
      </c>
      <c r="J29" s="3">
        <v>33.17</v>
      </c>
      <c r="K29" s="3">
        <v>0</v>
      </c>
      <c r="L29" s="3">
        <v>2653.85</v>
      </c>
      <c r="M29" s="3">
        <v>583.85</v>
      </c>
      <c r="N29" s="3">
        <v>310</v>
      </c>
      <c r="O29" s="3">
        <v>1760</v>
      </c>
      <c r="P29" s="3">
        <v>310</v>
      </c>
      <c r="Q29" s="3">
        <v>3013.4</v>
      </c>
      <c r="R29" s="3" t="s">
        <v>103</v>
      </c>
      <c r="S29" s="3" t="s">
        <v>104</v>
      </c>
      <c r="T29" s="3">
        <v>0</v>
      </c>
      <c r="U29" s="3" t="s">
        <v>105</v>
      </c>
      <c r="V29" s="3" t="str">
        <f t="shared" si="0"/>
        <v>OK</v>
      </c>
      <c r="W29" s="3" t="str">
        <f t="shared" si="1"/>
        <v>OK</v>
      </c>
      <c r="X29" s="3" t="str">
        <f t="shared" si="2"/>
        <v>OK</v>
      </c>
      <c r="Y29" s="3" t="str">
        <f t="shared" si="3"/>
        <v>OK</v>
      </c>
      <c r="Z29" s="3">
        <f t="shared" si="4"/>
        <v>0</v>
      </c>
      <c r="AA29" s="3" t="str">
        <f t="shared" si="5"/>
        <v>Low</v>
      </c>
    </row>
    <row r="30" spans="1:27">
      <c r="A30" s="3">
        <v>46087</v>
      </c>
      <c r="B30" s="3" t="s">
        <v>150</v>
      </c>
      <c r="C30" s="3" t="s">
        <v>136</v>
      </c>
      <c r="D30" s="3" t="s">
        <v>91</v>
      </c>
      <c r="E30" s="3" t="s">
        <v>92</v>
      </c>
      <c r="F30" s="3" t="s">
        <v>77</v>
      </c>
      <c r="G30" s="3" t="s">
        <v>55</v>
      </c>
      <c r="H30" s="3">
        <v>80</v>
      </c>
      <c r="I30" s="3">
        <v>4</v>
      </c>
      <c r="J30" s="3">
        <v>30.77</v>
      </c>
      <c r="K30" s="3">
        <v>0</v>
      </c>
      <c r="L30" s="3">
        <v>2646.16</v>
      </c>
      <c r="M30" s="3">
        <v>582.16</v>
      </c>
      <c r="N30" s="3">
        <v>185</v>
      </c>
      <c r="O30" s="3">
        <v>1879</v>
      </c>
      <c r="P30" s="3">
        <v>185</v>
      </c>
      <c r="Q30" s="3">
        <v>2814.32</v>
      </c>
      <c r="R30" s="3" t="s">
        <v>56</v>
      </c>
      <c r="S30" s="3" t="s">
        <v>57</v>
      </c>
      <c r="T30" s="3">
        <v>2646.16</v>
      </c>
      <c r="U30" s="3" t="s">
        <v>58</v>
      </c>
      <c r="V30" s="3" t="str">
        <f t="shared" si="0"/>
        <v>OK</v>
      </c>
      <c r="W30" s="3" t="str">
        <f t="shared" si="1"/>
        <v>OK</v>
      </c>
      <c r="X30" s="3" t="str">
        <f t="shared" si="2"/>
        <v>OK</v>
      </c>
      <c r="Y30" s="3" t="str">
        <f t="shared" si="3"/>
        <v>OK</v>
      </c>
      <c r="Z30" s="3">
        <f t="shared" si="4"/>
        <v>0</v>
      </c>
      <c r="AA30" s="3" t="str">
        <f t="shared" si="5"/>
        <v>Low</v>
      </c>
    </row>
    <row r="31" spans="1:27">
      <c r="A31" s="3">
        <v>46087</v>
      </c>
      <c r="B31" s="3" t="s">
        <v>151</v>
      </c>
      <c r="C31" s="3" t="s">
        <v>152</v>
      </c>
      <c r="D31" s="3" t="s">
        <v>91</v>
      </c>
      <c r="E31" s="3" t="s">
        <v>92</v>
      </c>
      <c r="F31" s="3" t="s">
        <v>62</v>
      </c>
      <c r="G31" s="3" t="s">
        <v>55</v>
      </c>
      <c r="H31" s="3">
        <v>80</v>
      </c>
      <c r="I31" s="3">
        <v>2</v>
      </c>
      <c r="J31" s="3">
        <v>54.33</v>
      </c>
      <c r="K31" s="3">
        <v>0</v>
      </c>
      <c r="L31" s="3">
        <v>4509.1400000000003</v>
      </c>
      <c r="M31" s="3">
        <v>992.01</v>
      </c>
      <c r="N31" s="3">
        <v>185</v>
      </c>
      <c r="O31" s="3">
        <v>3332.13</v>
      </c>
      <c r="P31" s="3">
        <v>185</v>
      </c>
      <c r="Q31" s="3">
        <v>4539.88</v>
      </c>
      <c r="R31" s="3" t="s">
        <v>56</v>
      </c>
      <c r="S31" s="3" t="s">
        <v>57</v>
      </c>
      <c r="T31" s="3">
        <v>4509.1400000000003</v>
      </c>
      <c r="U31" s="3" t="s">
        <v>58</v>
      </c>
      <c r="V31" s="3" t="str">
        <f t="shared" si="0"/>
        <v>OK</v>
      </c>
      <c r="W31" s="3" t="str">
        <f t="shared" si="1"/>
        <v>OK</v>
      </c>
      <c r="X31" s="3" t="str">
        <f t="shared" si="2"/>
        <v>OK</v>
      </c>
      <c r="Y31" s="3" t="str">
        <f t="shared" si="3"/>
        <v>OK</v>
      </c>
      <c r="Z31" s="3">
        <f t="shared" si="4"/>
        <v>0</v>
      </c>
      <c r="AA31" s="3" t="str">
        <f t="shared" si="5"/>
        <v>Low</v>
      </c>
    </row>
    <row r="32" spans="1:27">
      <c r="A32" s="3">
        <v>46087</v>
      </c>
      <c r="B32" s="3" t="s">
        <v>153</v>
      </c>
      <c r="C32" s="3" t="s">
        <v>154</v>
      </c>
      <c r="D32" s="3" t="s">
        <v>133</v>
      </c>
      <c r="E32" s="3" t="s">
        <v>155</v>
      </c>
      <c r="F32" s="3" t="s">
        <v>62</v>
      </c>
      <c r="G32" s="3" t="s">
        <v>55</v>
      </c>
      <c r="H32" s="3">
        <v>80</v>
      </c>
      <c r="I32" s="3">
        <v>0</v>
      </c>
      <c r="J32" s="3">
        <v>52.88</v>
      </c>
      <c r="K32" s="3">
        <v>0</v>
      </c>
      <c r="L32" s="3">
        <v>4230.7700000000004</v>
      </c>
      <c r="M32" s="3">
        <v>930.77</v>
      </c>
      <c r="N32" s="3">
        <v>310</v>
      </c>
      <c r="O32" s="3">
        <v>2990</v>
      </c>
      <c r="P32" s="3">
        <v>310</v>
      </c>
      <c r="Q32" s="3">
        <v>4602.6499999999996</v>
      </c>
      <c r="R32" s="3" t="s">
        <v>56</v>
      </c>
      <c r="S32" s="3" t="s">
        <v>57</v>
      </c>
      <c r="T32" s="3">
        <v>4230.7700000000004</v>
      </c>
      <c r="U32" s="3" t="s">
        <v>58</v>
      </c>
      <c r="V32" s="3" t="str">
        <f t="shared" si="0"/>
        <v>OK</v>
      </c>
      <c r="W32" s="3" t="str">
        <f t="shared" si="1"/>
        <v>OK</v>
      </c>
      <c r="X32" s="3" t="str">
        <f t="shared" si="2"/>
        <v>OK</v>
      </c>
      <c r="Y32" s="3" t="str">
        <f t="shared" si="3"/>
        <v>OK</v>
      </c>
      <c r="Z32" s="3">
        <f t="shared" si="4"/>
        <v>0</v>
      </c>
      <c r="AA32" s="3" t="str">
        <f t="shared" si="5"/>
        <v>Low</v>
      </c>
    </row>
    <row r="33" spans="1:27">
      <c r="A33" s="3">
        <v>46087</v>
      </c>
      <c r="B33" s="3" t="s">
        <v>156</v>
      </c>
      <c r="C33" s="3" t="s">
        <v>157</v>
      </c>
      <c r="D33" s="3" t="s">
        <v>108</v>
      </c>
      <c r="E33" s="3" t="s">
        <v>109</v>
      </c>
      <c r="F33" s="3" t="s">
        <v>67</v>
      </c>
      <c r="G33" s="3" t="s">
        <v>55</v>
      </c>
      <c r="H33" s="3">
        <v>80</v>
      </c>
      <c r="I33" s="3">
        <v>6</v>
      </c>
      <c r="J33" s="3">
        <v>37.979999999999997</v>
      </c>
      <c r="K33" s="3">
        <v>0</v>
      </c>
      <c r="L33" s="3">
        <v>3380.28</v>
      </c>
      <c r="M33" s="3">
        <v>743.66</v>
      </c>
      <c r="N33" s="3">
        <v>185</v>
      </c>
      <c r="O33" s="3">
        <v>2451.62</v>
      </c>
      <c r="P33" s="3">
        <v>185</v>
      </c>
      <c r="Q33" s="3">
        <v>3376.91</v>
      </c>
      <c r="R33" s="3" t="s">
        <v>56</v>
      </c>
      <c r="S33" s="3" t="s">
        <v>57</v>
      </c>
      <c r="T33" s="3">
        <v>3380.28</v>
      </c>
      <c r="U33" s="3" t="s">
        <v>58</v>
      </c>
      <c r="V33" s="3" t="str">
        <f t="shared" si="0"/>
        <v>OK</v>
      </c>
      <c r="W33" s="3" t="str">
        <f t="shared" si="1"/>
        <v>OK</v>
      </c>
      <c r="X33" s="3" t="str">
        <f t="shared" si="2"/>
        <v>OK</v>
      </c>
      <c r="Y33" s="3" t="str">
        <f t="shared" si="3"/>
        <v>OK</v>
      </c>
      <c r="Z33" s="3">
        <f t="shared" si="4"/>
        <v>0</v>
      </c>
      <c r="AA33" s="3" t="str">
        <f t="shared" si="5"/>
        <v>Low</v>
      </c>
    </row>
    <row r="34" spans="1:27">
      <c r="A34" s="3">
        <v>46087</v>
      </c>
      <c r="B34" s="3" t="s">
        <v>158</v>
      </c>
      <c r="C34" s="3" t="s">
        <v>159</v>
      </c>
      <c r="D34" s="3" t="s">
        <v>65</v>
      </c>
      <c r="E34" s="3" t="s">
        <v>66</v>
      </c>
      <c r="F34" s="3" t="s">
        <v>67</v>
      </c>
      <c r="G34" s="3" t="s">
        <v>55</v>
      </c>
      <c r="H34" s="3">
        <v>80</v>
      </c>
      <c r="I34" s="3">
        <v>0</v>
      </c>
      <c r="J34" s="3">
        <v>27.88</v>
      </c>
      <c r="K34" s="3">
        <v>0</v>
      </c>
      <c r="L34" s="3">
        <v>2230.77</v>
      </c>
      <c r="M34" s="3">
        <v>490.77</v>
      </c>
      <c r="N34" s="3">
        <v>0</v>
      </c>
      <c r="O34" s="3">
        <v>1740</v>
      </c>
      <c r="P34" s="3">
        <v>0</v>
      </c>
      <c r="Q34" s="3">
        <v>2676.03</v>
      </c>
      <c r="R34" s="3" t="s">
        <v>56</v>
      </c>
      <c r="S34" s="3" t="s">
        <v>57</v>
      </c>
      <c r="T34" s="3">
        <v>2230.77</v>
      </c>
      <c r="U34" s="3" t="s">
        <v>58</v>
      </c>
      <c r="V34" s="3" t="str">
        <f t="shared" si="0"/>
        <v>OK</v>
      </c>
      <c r="W34" s="3" t="str">
        <f t="shared" si="1"/>
        <v>OK</v>
      </c>
      <c r="X34" s="3" t="str">
        <f t="shared" si="2"/>
        <v>OK</v>
      </c>
      <c r="Y34" s="3" t="str">
        <f t="shared" si="3"/>
        <v>OK</v>
      </c>
      <c r="Z34" s="3">
        <f t="shared" si="4"/>
        <v>0</v>
      </c>
      <c r="AA34" s="3" t="str">
        <f t="shared" si="5"/>
        <v>Low</v>
      </c>
    </row>
    <row r="35" spans="1:27">
      <c r="A35" s="3">
        <v>46087</v>
      </c>
      <c r="B35" s="3" t="s">
        <v>160</v>
      </c>
      <c r="C35" s="3" t="s">
        <v>161</v>
      </c>
      <c r="D35" s="3" t="s">
        <v>129</v>
      </c>
      <c r="E35" s="3" t="s">
        <v>162</v>
      </c>
      <c r="F35" s="3" t="s">
        <v>117</v>
      </c>
      <c r="G35" s="3" t="s">
        <v>55</v>
      </c>
      <c r="H35" s="3">
        <v>80</v>
      </c>
      <c r="I35" s="3">
        <v>8</v>
      </c>
      <c r="J35" s="3">
        <v>36.06</v>
      </c>
      <c r="K35" s="3">
        <v>4000</v>
      </c>
      <c r="L35" s="3">
        <v>7317.34</v>
      </c>
      <c r="M35" s="3">
        <v>1609.81</v>
      </c>
      <c r="N35" s="3">
        <v>185</v>
      </c>
      <c r="O35" s="3">
        <v>5522.53</v>
      </c>
      <c r="P35" s="3">
        <v>185</v>
      </c>
      <c r="Q35" s="3">
        <v>3481.93</v>
      </c>
      <c r="R35" s="3" t="s">
        <v>56</v>
      </c>
      <c r="S35" s="3" t="s">
        <v>85</v>
      </c>
      <c r="T35" s="3">
        <v>7317.34</v>
      </c>
      <c r="U35" s="3" t="s">
        <v>58</v>
      </c>
      <c r="V35" s="3" t="str">
        <f t="shared" si="0"/>
        <v>Flag</v>
      </c>
      <c r="W35" s="3" t="str">
        <f t="shared" si="1"/>
        <v>OK</v>
      </c>
      <c r="X35" s="3" t="str">
        <f t="shared" si="2"/>
        <v>OK</v>
      </c>
      <c r="Y35" s="3" t="str">
        <f t="shared" si="3"/>
        <v>OK</v>
      </c>
      <c r="Z35" s="3">
        <f t="shared" si="4"/>
        <v>1</v>
      </c>
      <c r="AA35" s="3" t="str">
        <f t="shared" si="5"/>
        <v>Medium</v>
      </c>
    </row>
    <row r="36" spans="1:27">
      <c r="A36" s="3">
        <v>46087</v>
      </c>
      <c r="B36" s="3" t="s">
        <v>163</v>
      </c>
      <c r="C36" s="3" t="s">
        <v>164</v>
      </c>
      <c r="D36" s="3" t="s">
        <v>91</v>
      </c>
      <c r="E36" s="3" t="s">
        <v>165</v>
      </c>
      <c r="F36" s="3" t="s">
        <v>84</v>
      </c>
      <c r="G36" s="3" t="s">
        <v>55</v>
      </c>
      <c r="H36" s="3">
        <v>80</v>
      </c>
      <c r="I36" s="3">
        <v>6</v>
      </c>
      <c r="J36" s="3">
        <v>39.9</v>
      </c>
      <c r="K36" s="3">
        <v>0</v>
      </c>
      <c r="L36" s="3">
        <v>3551.41</v>
      </c>
      <c r="M36" s="3">
        <v>781.31</v>
      </c>
      <c r="N36" s="3">
        <v>0</v>
      </c>
      <c r="O36" s="3">
        <v>2770.1</v>
      </c>
      <c r="P36" s="3">
        <v>0</v>
      </c>
      <c r="Q36" s="3">
        <v>3476.36</v>
      </c>
      <c r="R36" s="3" t="s">
        <v>103</v>
      </c>
      <c r="S36" s="3" t="s">
        <v>104</v>
      </c>
      <c r="T36" s="3">
        <v>0</v>
      </c>
      <c r="U36" s="3" t="s">
        <v>105</v>
      </c>
      <c r="V36" s="3" t="str">
        <f t="shared" si="0"/>
        <v>OK</v>
      </c>
      <c r="W36" s="3" t="str">
        <f t="shared" si="1"/>
        <v>OK</v>
      </c>
      <c r="X36" s="3" t="str">
        <f t="shared" si="2"/>
        <v>OK</v>
      </c>
      <c r="Y36" s="3" t="str">
        <f t="shared" si="3"/>
        <v>OK</v>
      </c>
      <c r="Z36" s="3">
        <f t="shared" si="4"/>
        <v>0</v>
      </c>
      <c r="AA36" s="3" t="str">
        <f t="shared" si="5"/>
        <v>Low</v>
      </c>
    </row>
    <row r="37" spans="1:27">
      <c r="A37" s="3">
        <v>46087</v>
      </c>
      <c r="B37" s="3" t="s">
        <v>166</v>
      </c>
      <c r="C37" s="3" t="s">
        <v>167</v>
      </c>
      <c r="D37" s="3" t="s">
        <v>52</v>
      </c>
      <c r="E37" s="3" t="s">
        <v>113</v>
      </c>
      <c r="F37" s="3" t="s">
        <v>102</v>
      </c>
      <c r="G37" s="3" t="s">
        <v>55</v>
      </c>
      <c r="H37" s="3">
        <v>80</v>
      </c>
      <c r="I37" s="3">
        <v>2</v>
      </c>
      <c r="J37" s="3">
        <v>56.73</v>
      </c>
      <c r="K37" s="3">
        <v>500</v>
      </c>
      <c r="L37" s="3">
        <v>5208.6499999999996</v>
      </c>
      <c r="M37" s="3">
        <v>1145.9000000000001</v>
      </c>
      <c r="N37" s="3">
        <v>310</v>
      </c>
      <c r="O37" s="3">
        <v>3752.75</v>
      </c>
      <c r="P37" s="3">
        <v>310</v>
      </c>
      <c r="Q37" s="3">
        <v>5130.5600000000004</v>
      </c>
      <c r="R37" s="3" t="s">
        <v>103</v>
      </c>
      <c r="S37" s="3" t="s">
        <v>104</v>
      </c>
      <c r="T37" s="3">
        <v>0</v>
      </c>
      <c r="U37" s="3" t="s">
        <v>105</v>
      </c>
      <c r="V37" s="3" t="str">
        <f t="shared" si="0"/>
        <v>OK</v>
      </c>
      <c r="W37" s="3" t="str">
        <f t="shared" si="1"/>
        <v>OK</v>
      </c>
      <c r="X37" s="3" t="str">
        <f t="shared" si="2"/>
        <v>OK</v>
      </c>
      <c r="Y37" s="3" t="str">
        <f t="shared" si="3"/>
        <v>OK</v>
      </c>
      <c r="Z37" s="3">
        <f t="shared" si="4"/>
        <v>0</v>
      </c>
      <c r="AA37" s="3" t="str">
        <f t="shared" si="5"/>
        <v>Low</v>
      </c>
    </row>
    <row r="38" spans="1:27">
      <c r="A38" s="3">
        <v>46087</v>
      </c>
      <c r="B38" s="3" t="s">
        <v>168</v>
      </c>
      <c r="C38" s="3" t="s">
        <v>169</v>
      </c>
      <c r="D38" s="3" t="s">
        <v>80</v>
      </c>
      <c r="E38" s="3" t="s">
        <v>88</v>
      </c>
      <c r="F38" s="3" t="s">
        <v>54</v>
      </c>
      <c r="G38" s="3" t="s">
        <v>55</v>
      </c>
      <c r="H38" s="3">
        <v>80</v>
      </c>
      <c r="I38" s="3">
        <v>0</v>
      </c>
      <c r="J38" s="3">
        <v>32.69</v>
      </c>
      <c r="K38" s="3">
        <v>250</v>
      </c>
      <c r="L38" s="3">
        <v>2865.38</v>
      </c>
      <c r="M38" s="3">
        <v>630.38</v>
      </c>
      <c r="N38" s="3">
        <v>0</v>
      </c>
      <c r="O38" s="3">
        <v>2235</v>
      </c>
      <c r="P38" s="3">
        <v>0</v>
      </c>
      <c r="Q38" s="3">
        <v>2956.12</v>
      </c>
      <c r="R38" s="3" t="s">
        <v>56</v>
      </c>
      <c r="S38" s="3" t="s">
        <v>57</v>
      </c>
      <c r="T38" s="3">
        <v>2865.38</v>
      </c>
      <c r="U38" s="3" t="s">
        <v>58</v>
      </c>
      <c r="V38" s="3" t="str">
        <f t="shared" si="0"/>
        <v>OK</v>
      </c>
      <c r="W38" s="3" t="str">
        <f t="shared" si="1"/>
        <v>OK</v>
      </c>
      <c r="X38" s="3" t="str">
        <f t="shared" si="2"/>
        <v>OK</v>
      </c>
      <c r="Y38" s="3" t="str">
        <f t="shared" si="3"/>
        <v>OK</v>
      </c>
      <c r="Z38" s="3">
        <f t="shared" si="4"/>
        <v>0</v>
      </c>
      <c r="AA38" s="3" t="str">
        <f t="shared" si="5"/>
        <v>Low</v>
      </c>
    </row>
    <row r="39" spans="1:27">
      <c r="A39" s="3">
        <v>46087</v>
      </c>
      <c r="B39" s="3" t="s">
        <v>170</v>
      </c>
      <c r="C39" s="3" t="s">
        <v>171</v>
      </c>
      <c r="D39" s="3" t="s">
        <v>52</v>
      </c>
      <c r="E39" s="3" t="s">
        <v>53</v>
      </c>
      <c r="F39" s="3" t="s">
        <v>77</v>
      </c>
      <c r="G39" s="3" t="s">
        <v>55</v>
      </c>
      <c r="H39" s="3">
        <v>80</v>
      </c>
      <c r="I39" s="3">
        <v>0</v>
      </c>
      <c r="J39" s="3">
        <v>30.77</v>
      </c>
      <c r="K39" s="3">
        <v>250</v>
      </c>
      <c r="L39" s="3">
        <v>2711.54</v>
      </c>
      <c r="M39" s="3">
        <v>596.54</v>
      </c>
      <c r="N39" s="3">
        <v>185</v>
      </c>
      <c r="O39" s="3">
        <v>1930</v>
      </c>
      <c r="P39" s="3">
        <v>185</v>
      </c>
      <c r="Q39" s="3">
        <v>2806.5</v>
      </c>
      <c r="R39" s="3" t="s">
        <v>56</v>
      </c>
      <c r="S39" s="3" t="s">
        <v>57</v>
      </c>
      <c r="T39" s="3">
        <v>2711.54</v>
      </c>
      <c r="U39" s="3" t="s">
        <v>58</v>
      </c>
      <c r="V39" s="3" t="str">
        <f t="shared" si="0"/>
        <v>OK</v>
      </c>
      <c r="W39" s="3" t="str">
        <f t="shared" si="1"/>
        <v>OK</v>
      </c>
      <c r="X39" s="3" t="str">
        <f t="shared" si="2"/>
        <v>OK</v>
      </c>
      <c r="Y39" s="3" t="str">
        <f t="shared" si="3"/>
        <v>OK</v>
      </c>
      <c r="Z39" s="3">
        <f t="shared" si="4"/>
        <v>0</v>
      </c>
      <c r="AA39" s="3" t="str">
        <f t="shared" si="5"/>
        <v>Low</v>
      </c>
    </row>
    <row r="40" spans="1:27">
      <c r="A40" s="3">
        <v>46087</v>
      </c>
      <c r="B40" s="3" t="s">
        <v>172</v>
      </c>
      <c r="C40" s="3" t="s">
        <v>173</v>
      </c>
      <c r="D40" s="3" t="s">
        <v>100</v>
      </c>
      <c r="E40" s="3" t="s">
        <v>174</v>
      </c>
      <c r="F40" s="3" t="s">
        <v>122</v>
      </c>
      <c r="G40" s="3" t="s">
        <v>55</v>
      </c>
      <c r="H40" s="3">
        <v>80</v>
      </c>
      <c r="I40" s="3">
        <v>0</v>
      </c>
      <c r="J40" s="3">
        <v>39.9</v>
      </c>
      <c r="K40" s="3">
        <v>500</v>
      </c>
      <c r="L40" s="3">
        <v>3692.31</v>
      </c>
      <c r="M40" s="3">
        <v>812.31</v>
      </c>
      <c r="N40" s="3">
        <v>310</v>
      </c>
      <c r="O40" s="3">
        <v>2570</v>
      </c>
      <c r="P40" s="3">
        <v>310</v>
      </c>
      <c r="Q40" s="3">
        <v>3438.99</v>
      </c>
      <c r="R40" s="3" t="s">
        <v>56</v>
      </c>
      <c r="S40" s="3" t="s">
        <v>57</v>
      </c>
      <c r="T40" s="3">
        <v>3692.31</v>
      </c>
      <c r="U40" s="3" t="s">
        <v>58</v>
      </c>
      <c r="V40" s="3" t="str">
        <f t="shared" si="0"/>
        <v>OK</v>
      </c>
      <c r="W40" s="3" t="str">
        <f t="shared" si="1"/>
        <v>OK</v>
      </c>
      <c r="X40" s="3" t="str">
        <f t="shared" si="2"/>
        <v>OK</v>
      </c>
      <c r="Y40" s="3" t="str">
        <f t="shared" si="3"/>
        <v>OK</v>
      </c>
      <c r="Z40" s="3">
        <f t="shared" si="4"/>
        <v>0</v>
      </c>
      <c r="AA40" s="3" t="str">
        <f t="shared" si="5"/>
        <v>Low</v>
      </c>
    </row>
    <row r="41" spans="1:27">
      <c r="A41" s="3">
        <v>46087</v>
      </c>
      <c r="B41" s="3" t="s">
        <v>175</v>
      </c>
      <c r="C41" s="3" t="s">
        <v>176</v>
      </c>
      <c r="D41" s="3" t="s">
        <v>100</v>
      </c>
      <c r="E41" s="3" t="s">
        <v>101</v>
      </c>
      <c r="F41" s="3" t="s">
        <v>117</v>
      </c>
      <c r="G41" s="3" t="s">
        <v>55</v>
      </c>
      <c r="H41" s="3">
        <v>80</v>
      </c>
      <c r="I41" s="3">
        <v>8</v>
      </c>
      <c r="J41" s="3">
        <v>58.65</v>
      </c>
      <c r="K41" s="3">
        <v>0</v>
      </c>
      <c r="L41" s="3">
        <v>5396.11</v>
      </c>
      <c r="M41" s="3">
        <v>1187.1400000000001</v>
      </c>
      <c r="N41" s="3">
        <v>310</v>
      </c>
      <c r="O41" s="3">
        <v>3898.97</v>
      </c>
      <c r="P41" s="3">
        <v>310</v>
      </c>
      <c r="Q41" s="3">
        <v>4833.9799999999996</v>
      </c>
      <c r="R41" s="3" t="s">
        <v>103</v>
      </c>
      <c r="S41" s="3" t="s">
        <v>104</v>
      </c>
      <c r="T41" s="3">
        <v>0</v>
      </c>
      <c r="U41" s="3" t="s">
        <v>105</v>
      </c>
      <c r="V41" s="3" t="str">
        <f t="shared" si="0"/>
        <v>Flag</v>
      </c>
      <c r="W41" s="3" t="str">
        <f t="shared" si="1"/>
        <v>OK</v>
      </c>
      <c r="X41" s="3" t="str">
        <f t="shared" si="2"/>
        <v>OK</v>
      </c>
      <c r="Y41" s="3" t="str">
        <f t="shared" si="3"/>
        <v>OK</v>
      </c>
      <c r="Z41" s="3">
        <f t="shared" si="4"/>
        <v>1</v>
      </c>
      <c r="AA41" s="3" t="str">
        <f t="shared" si="5"/>
        <v>Medium</v>
      </c>
    </row>
    <row r="42" spans="1:27">
      <c r="A42" s="3">
        <v>46087</v>
      </c>
      <c r="B42" s="3" t="s">
        <v>177</v>
      </c>
      <c r="C42" s="3" t="s">
        <v>178</v>
      </c>
      <c r="D42" s="3" t="s">
        <v>52</v>
      </c>
      <c r="E42" s="3" t="s">
        <v>53</v>
      </c>
      <c r="F42" s="3" t="s">
        <v>117</v>
      </c>
      <c r="G42" s="3" t="s">
        <v>55</v>
      </c>
      <c r="H42" s="3">
        <v>80</v>
      </c>
      <c r="I42" s="3">
        <v>0</v>
      </c>
      <c r="J42" s="3">
        <v>41.35</v>
      </c>
      <c r="K42" s="3">
        <v>250</v>
      </c>
      <c r="L42" s="3">
        <v>3557.69</v>
      </c>
      <c r="M42" s="3">
        <v>782.69</v>
      </c>
      <c r="N42" s="3">
        <v>310</v>
      </c>
      <c r="O42" s="3">
        <v>2465</v>
      </c>
      <c r="P42" s="3">
        <v>310</v>
      </c>
      <c r="Q42" s="3">
        <v>3838.22</v>
      </c>
      <c r="R42" s="3" t="s">
        <v>103</v>
      </c>
      <c r="S42" s="3" t="s">
        <v>104</v>
      </c>
      <c r="T42" s="3">
        <v>0</v>
      </c>
      <c r="U42" s="3" t="s">
        <v>105</v>
      </c>
      <c r="V42" s="3" t="str">
        <f t="shared" si="0"/>
        <v>OK</v>
      </c>
      <c r="W42" s="3" t="str">
        <f t="shared" si="1"/>
        <v>OK</v>
      </c>
      <c r="X42" s="3" t="str">
        <f t="shared" si="2"/>
        <v>OK</v>
      </c>
      <c r="Y42" s="3" t="str">
        <f t="shared" si="3"/>
        <v>OK</v>
      </c>
      <c r="Z42" s="3">
        <f t="shared" si="4"/>
        <v>0</v>
      </c>
      <c r="AA42" s="3" t="str">
        <f t="shared" si="5"/>
        <v>Low</v>
      </c>
    </row>
    <row r="43" spans="1:27">
      <c r="A43" s="3">
        <v>46087</v>
      </c>
      <c r="B43" s="3" t="s">
        <v>179</v>
      </c>
      <c r="C43" s="3" t="s">
        <v>180</v>
      </c>
      <c r="D43" s="3" t="s">
        <v>80</v>
      </c>
      <c r="E43" s="3" t="s">
        <v>88</v>
      </c>
      <c r="F43" s="3" t="s">
        <v>54</v>
      </c>
      <c r="G43" s="3" t="s">
        <v>55</v>
      </c>
      <c r="H43" s="3">
        <v>80</v>
      </c>
      <c r="I43" s="3">
        <v>4</v>
      </c>
      <c r="J43" s="3">
        <v>54.81</v>
      </c>
      <c r="K43" s="3">
        <v>0</v>
      </c>
      <c r="L43" s="3">
        <v>4713.4799999999996</v>
      </c>
      <c r="M43" s="3">
        <v>1036.97</v>
      </c>
      <c r="N43" s="3">
        <v>310</v>
      </c>
      <c r="O43" s="3">
        <v>3366.51</v>
      </c>
      <c r="P43" s="3">
        <v>310</v>
      </c>
      <c r="Q43" s="3">
        <v>4986.33</v>
      </c>
      <c r="R43" s="3" t="s">
        <v>56</v>
      </c>
      <c r="S43" s="3" t="s">
        <v>57</v>
      </c>
      <c r="T43" s="3">
        <v>4713.4799999999996</v>
      </c>
      <c r="U43" s="3" t="s">
        <v>58</v>
      </c>
      <c r="V43" s="3" t="str">
        <f t="shared" si="0"/>
        <v>OK</v>
      </c>
      <c r="W43" s="3" t="str">
        <f t="shared" si="1"/>
        <v>OK</v>
      </c>
      <c r="X43" s="3" t="str">
        <f t="shared" si="2"/>
        <v>OK</v>
      </c>
      <c r="Y43" s="3" t="str">
        <f t="shared" si="3"/>
        <v>OK</v>
      </c>
      <c r="Z43" s="3">
        <f t="shared" si="4"/>
        <v>0</v>
      </c>
      <c r="AA43" s="3" t="str">
        <f t="shared" si="5"/>
        <v>Low</v>
      </c>
    </row>
    <row r="44" spans="1:27">
      <c r="A44" s="3">
        <v>46087</v>
      </c>
      <c r="B44" s="3" t="s">
        <v>181</v>
      </c>
      <c r="C44" s="3" t="s">
        <v>182</v>
      </c>
      <c r="D44" s="3" t="s">
        <v>133</v>
      </c>
      <c r="E44" s="3" t="s">
        <v>147</v>
      </c>
      <c r="F44" s="3" t="s">
        <v>110</v>
      </c>
      <c r="G44" s="3" t="s">
        <v>55</v>
      </c>
      <c r="H44" s="3">
        <v>80</v>
      </c>
      <c r="I44" s="3">
        <v>2</v>
      </c>
      <c r="J44" s="3">
        <v>45.19</v>
      </c>
      <c r="K44" s="3">
        <v>500</v>
      </c>
      <c r="L44" s="3">
        <v>4250.95</v>
      </c>
      <c r="M44" s="3">
        <v>935.21</v>
      </c>
      <c r="N44" s="3">
        <v>185</v>
      </c>
      <c r="O44" s="3">
        <v>3130.74</v>
      </c>
      <c r="P44" s="3">
        <v>185</v>
      </c>
      <c r="Q44" s="3">
        <v>4038.95</v>
      </c>
      <c r="R44" s="3" t="s">
        <v>103</v>
      </c>
      <c r="S44" s="3" t="s">
        <v>104</v>
      </c>
      <c r="T44" s="3">
        <v>0</v>
      </c>
      <c r="U44" s="3" t="s">
        <v>105</v>
      </c>
      <c r="V44" s="3" t="str">
        <f t="shared" si="0"/>
        <v>OK</v>
      </c>
      <c r="W44" s="3" t="str">
        <f t="shared" si="1"/>
        <v>OK</v>
      </c>
      <c r="X44" s="3" t="str">
        <f t="shared" si="2"/>
        <v>OK</v>
      </c>
      <c r="Y44" s="3" t="str">
        <f t="shared" si="3"/>
        <v>OK</v>
      </c>
      <c r="Z44" s="3">
        <f t="shared" si="4"/>
        <v>0</v>
      </c>
      <c r="AA44" s="3" t="str">
        <f t="shared" si="5"/>
        <v>Low</v>
      </c>
    </row>
    <row r="45" spans="1:27">
      <c r="A45" s="3">
        <v>46087</v>
      </c>
      <c r="B45" s="3" t="s">
        <v>183</v>
      </c>
      <c r="C45" s="3" t="s">
        <v>184</v>
      </c>
      <c r="D45" s="3" t="s">
        <v>108</v>
      </c>
      <c r="E45" s="3" t="s">
        <v>185</v>
      </c>
      <c r="F45" s="3" t="s">
        <v>62</v>
      </c>
      <c r="G45" s="3" t="s">
        <v>55</v>
      </c>
      <c r="H45" s="3">
        <v>80</v>
      </c>
      <c r="I45" s="3">
        <v>0</v>
      </c>
      <c r="J45" s="3">
        <v>25.48</v>
      </c>
      <c r="K45" s="3">
        <v>0</v>
      </c>
      <c r="L45" s="3">
        <v>2038.46</v>
      </c>
      <c r="M45" s="3">
        <v>448.46</v>
      </c>
      <c r="N45" s="3">
        <v>185</v>
      </c>
      <c r="O45" s="3">
        <v>1405</v>
      </c>
      <c r="P45" s="3">
        <v>185</v>
      </c>
      <c r="Q45" s="3">
        <v>2294.73</v>
      </c>
      <c r="R45" s="3" t="s">
        <v>56</v>
      </c>
      <c r="S45" s="3" t="s">
        <v>57</v>
      </c>
      <c r="T45" s="3">
        <v>2038.46</v>
      </c>
      <c r="U45" s="3" t="s">
        <v>58</v>
      </c>
      <c r="V45" s="3" t="str">
        <f t="shared" si="0"/>
        <v>OK</v>
      </c>
      <c r="W45" s="3" t="str">
        <f t="shared" si="1"/>
        <v>OK</v>
      </c>
      <c r="X45" s="3" t="str">
        <f t="shared" si="2"/>
        <v>OK</v>
      </c>
      <c r="Y45" s="3" t="str">
        <f t="shared" si="3"/>
        <v>OK</v>
      </c>
      <c r="Z45" s="3">
        <f t="shared" si="4"/>
        <v>0</v>
      </c>
      <c r="AA45" s="3" t="str">
        <f t="shared" si="5"/>
        <v>Low</v>
      </c>
    </row>
    <row r="46" spans="1:27">
      <c r="A46" s="3">
        <v>46087</v>
      </c>
      <c r="B46" s="3" t="s">
        <v>186</v>
      </c>
      <c r="C46" s="3" t="s">
        <v>187</v>
      </c>
      <c r="D46" s="3" t="s">
        <v>129</v>
      </c>
      <c r="E46" s="3" t="s">
        <v>188</v>
      </c>
      <c r="F46" s="3" t="s">
        <v>110</v>
      </c>
      <c r="G46" s="3" t="s">
        <v>55</v>
      </c>
      <c r="H46" s="3">
        <v>80</v>
      </c>
      <c r="I46" s="3">
        <v>28</v>
      </c>
      <c r="J46" s="3">
        <v>60.58</v>
      </c>
      <c r="K46" s="3">
        <v>0</v>
      </c>
      <c r="L46" s="3">
        <v>7390.51</v>
      </c>
      <c r="M46" s="3">
        <v>1625.91</v>
      </c>
      <c r="N46" s="3">
        <v>0</v>
      </c>
      <c r="O46" s="3">
        <v>5764.6</v>
      </c>
      <c r="P46" s="3">
        <v>0</v>
      </c>
      <c r="Q46" s="3">
        <v>5226</v>
      </c>
      <c r="R46" s="3" t="s">
        <v>56</v>
      </c>
      <c r="S46" s="3" t="s">
        <v>189</v>
      </c>
      <c r="T46" s="3">
        <v>7390.51</v>
      </c>
      <c r="U46" s="3" t="s">
        <v>58</v>
      </c>
      <c r="V46" s="3" t="str">
        <f t="shared" si="0"/>
        <v>Flag</v>
      </c>
      <c r="W46" s="3" t="str">
        <f t="shared" si="1"/>
        <v>Flag</v>
      </c>
      <c r="X46" s="3" t="str">
        <f t="shared" si="2"/>
        <v>OK</v>
      </c>
      <c r="Y46" s="3" t="str">
        <f t="shared" si="3"/>
        <v>OK</v>
      </c>
      <c r="Z46" s="3">
        <f t="shared" si="4"/>
        <v>2</v>
      </c>
      <c r="AA46" s="3" t="str">
        <f t="shared" si="5"/>
        <v>High</v>
      </c>
    </row>
    <row r="47" spans="1:27">
      <c r="A47" s="3">
        <v>46087</v>
      </c>
      <c r="B47" s="3" t="s">
        <v>190</v>
      </c>
      <c r="C47" s="3" t="s">
        <v>191</v>
      </c>
      <c r="D47" s="3" t="s">
        <v>65</v>
      </c>
      <c r="E47" s="3" t="s">
        <v>192</v>
      </c>
      <c r="F47" s="3" t="s">
        <v>122</v>
      </c>
      <c r="G47" s="3" t="s">
        <v>55</v>
      </c>
      <c r="H47" s="3">
        <v>80</v>
      </c>
      <c r="I47" s="3">
        <v>8</v>
      </c>
      <c r="J47" s="3">
        <v>46.63</v>
      </c>
      <c r="K47" s="3">
        <v>0</v>
      </c>
      <c r="L47" s="3">
        <v>4290.33</v>
      </c>
      <c r="M47" s="3">
        <v>943.87</v>
      </c>
      <c r="N47" s="3">
        <v>185</v>
      </c>
      <c r="O47" s="3">
        <v>3161.46</v>
      </c>
      <c r="P47" s="3">
        <v>185</v>
      </c>
      <c r="Q47" s="3">
        <v>3938.37</v>
      </c>
      <c r="R47" s="3" t="s">
        <v>56</v>
      </c>
      <c r="S47" s="3" t="s">
        <v>57</v>
      </c>
      <c r="T47" s="3">
        <v>4290.33</v>
      </c>
      <c r="U47" s="3" t="s">
        <v>58</v>
      </c>
      <c r="V47" s="3" t="str">
        <f t="shared" si="0"/>
        <v>OK</v>
      </c>
      <c r="W47" s="3" t="str">
        <f t="shared" si="1"/>
        <v>OK</v>
      </c>
      <c r="X47" s="3" t="str">
        <f t="shared" si="2"/>
        <v>OK</v>
      </c>
      <c r="Y47" s="3" t="str">
        <f t="shared" si="3"/>
        <v>OK</v>
      </c>
      <c r="Z47" s="3">
        <f t="shared" si="4"/>
        <v>0</v>
      </c>
      <c r="AA47" s="3" t="str">
        <f t="shared" si="5"/>
        <v>Low</v>
      </c>
    </row>
    <row r="48" spans="1:27">
      <c r="A48" s="3">
        <v>46087</v>
      </c>
      <c r="B48" s="3" t="s">
        <v>193</v>
      </c>
      <c r="C48" s="3" t="s">
        <v>194</v>
      </c>
      <c r="D48" s="3" t="s">
        <v>80</v>
      </c>
      <c r="E48" s="3" t="s">
        <v>81</v>
      </c>
      <c r="F48" s="3" t="s">
        <v>62</v>
      </c>
      <c r="G48" s="3" t="s">
        <v>55</v>
      </c>
      <c r="H48" s="3">
        <v>80</v>
      </c>
      <c r="I48" s="3">
        <v>6</v>
      </c>
      <c r="J48" s="3">
        <v>39.42</v>
      </c>
      <c r="K48" s="3">
        <v>500</v>
      </c>
      <c r="L48" s="3">
        <v>4008.63</v>
      </c>
      <c r="M48" s="3">
        <v>881.9</v>
      </c>
      <c r="N48" s="3">
        <v>185</v>
      </c>
      <c r="O48" s="3">
        <v>2941.73</v>
      </c>
      <c r="P48" s="3">
        <v>185</v>
      </c>
      <c r="Q48" s="3">
        <v>3711.33</v>
      </c>
      <c r="R48" s="3" t="s">
        <v>56</v>
      </c>
      <c r="S48" s="3" t="s">
        <v>57</v>
      </c>
      <c r="T48" s="3">
        <v>4008.63</v>
      </c>
      <c r="U48" s="3" t="s">
        <v>58</v>
      </c>
      <c r="V48" s="3" t="str">
        <f t="shared" si="0"/>
        <v>OK</v>
      </c>
      <c r="W48" s="3" t="str">
        <f t="shared" si="1"/>
        <v>OK</v>
      </c>
      <c r="X48" s="3" t="str">
        <f t="shared" si="2"/>
        <v>OK</v>
      </c>
      <c r="Y48" s="3" t="str">
        <f t="shared" si="3"/>
        <v>OK</v>
      </c>
      <c r="Z48" s="3">
        <f t="shared" si="4"/>
        <v>0</v>
      </c>
      <c r="AA48" s="3" t="str">
        <f t="shared" si="5"/>
        <v>Low</v>
      </c>
    </row>
    <row r="49" spans="1:27">
      <c r="A49" s="3">
        <v>46087</v>
      </c>
      <c r="B49" s="3" t="s">
        <v>195</v>
      </c>
      <c r="C49" s="3" t="s">
        <v>196</v>
      </c>
      <c r="D49" s="3" t="s">
        <v>129</v>
      </c>
      <c r="E49" s="3" t="s">
        <v>188</v>
      </c>
      <c r="F49" s="3" t="s">
        <v>122</v>
      </c>
      <c r="G49" s="3" t="s">
        <v>55</v>
      </c>
      <c r="H49" s="3">
        <v>80</v>
      </c>
      <c r="I49" s="3">
        <v>0</v>
      </c>
      <c r="J49" s="3">
        <v>39.9</v>
      </c>
      <c r="K49" s="3">
        <v>0</v>
      </c>
      <c r="L49" s="3">
        <v>3192.31</v>
      </c>
      <c r="M49" s="3">
        <v>702.31</v>
      </c>
      <c r="N49" s="3">
        <v>310</v>
      </c>
      <c r="O49" s="3">
        <v>2180</v>
      </c>
      <c r="P49" s="3">
        <v>310</v>
      </c>
      <c r="Q49" s="3">
        <v>3604.12</v>
      </c>
      <c r="R49" s="3" t="s">
        <v>56</v>
      </c>
      <c r="S49" s="3" t="s">
        <v>57</v>
      </c>
      <c r="T49" s="3">
        <v>3192.31</v>
      </c>
      <c r="U49" s="3" t="s">
        <v>58</v>
      </c>
      <c r="V49" s="3" t="str">
        <f t="shared" si="0"/>
        <v>OK</v>
      </c>
      <c r="W49" s="3" t="str">
        <f t="shared" si="1"/>
        <v>OK</v>
      </c>
      <c r="X49" s="3" t="str">
        <f t="shared" si="2"/>
        <v>OK</v>
      </c>
      <c r="Y49" s="3" t="str">
        <f t="shared" si="3"/>
        <v>OK</v>
      </c>
      <c r="Z49" s="3">
        <f t="shared" si="4"/>
        <v>0</v>
      </c>
      <c r="AA49" s="3" t="str">
        <f t="shared" si="5"/>
        <v>Low</v>
      </c>
    </row>
    <row r="50" spans="1:27">
      <c r="A50" s="3">
        <v>46087</v>
      </c>
      <c r="B50" s="3" t="s">
        <v>197</v>
      </c>
      <c r="C50" s="3" t="s">
        <v>198</v>
      </c>
      <c r="D50" s="3" t="s">
        <v>133</v>
      </c>
      <c r="E50" s="3" t="s">
        <v>155</v>
      </c>
      <c r="F50" s="3" t="s">
        <v>77</v>
      </c>
      <c r="G50" s="3" t="s">
        <v>55</v>
      </c>
      <c r="H50" s="3">
        <v>80</v>
      </c>
      <c r="I50" s="3">
        <v>2</v>
      </c>
      <c r="J50" s="3">
        <v>37.020000000000003</v>
      </c>
      <c r="K50" s="3">
        <v>0</v>
      </c>
      <c r="L50" s="3">
        <v>3072.6</v>
      </c>
      <c r="M50" s="3">
        <v>675.97</v>
      </c>
      <c r="N50" s="3">
        <v>310</v>
      </c>
      <c r="O50" s="3">
        <v>2086.63</v>
      </c>
      <c r="P50" s="3">
        <v>310</v>
      </c>
      <c r="Q50" s="3">
        <v>3250.7</v>
      </c>
      <c r="R50" s="3" t="s">
        <v>56</v>
      </c>
      <c r="S50" s="3" t="s">
        <v>57</v>
      </c>
      <c r="T50" s="3">
        <v>3072.6</v>
      </c>
      <c r="U50" s="3" t="s">
        <v>58</v>
      </c>
      <c r="V50" s="3" t="str">
        <f t="shared" si="0"/>
        <v>OK</v>
      </c>
      <c r="W50" s="3" t="str">
        <f t="shared" si="1"/>
        <v>OK</v>
      </c>
      <c r="X50" s="3" t="str">
        <f t="shared" si="2"/>
        <v>OK</v>
      </c>
      <c r="Y50" s="3" t="str">
        <f t="shared" si="3"/>
        <v>OK</v>
      </c>
      <c r="Z50" s="3">
        <f t="shared" si="4"/>
        <v>0</v>
      </c>
      <c r="AA50" s="3" t="str">
        <f t="shared" si="5"/>
        <v>Low</v>
      </c>
    </row>
    <row r="51" spans="1:27">
      <c r="A51" s="3">
        <v>46087</v>
      </c>
      <c r="B51" s="3" t="s">
        <v>199</v>
      </c>
      <c r="C51" s="3" t="s">
        <v>200</v>
      </c>
      <c r="D51" s="3" t="s">
        <v>91</v>
      </c>
      <c r="E51" s="3" t="s">
        <v>92</v>
      </c>
      <c r="F51" s="3" t="s">
        <v>110</v>
      </c>
      <c r="G51" s="3" t="s">
        <v>55</v>
      </c>
      <c r="H51" s="3">
        <v>80</v>
      </c>
      <c r="I51" s="3">
        <v>0</v>
      </c>
      <c r="J51" s="3">
        <v>49.52</v>
      </c>
      <c r="K51" s="3">
        <v>0</v>
      </c>
      <c r="L51" s="3">
        <v>3961.54</v>
      </c>
      <c r="M51" s="3">
        <v>871.54</v>
      </c>
      <c r="N51" s="3">
        <v>310</v>
      </c>
      <c r="O51" s="3">
        <v>2780</v>
      </c>
      <c r="P51" s="3">
        <v>310</v>
      </c>
      <c r="Q51" s="3">
        <v>4316.21</v>
      </c>
      <c r="R51" s="3" t="s">
        <v>103</v>
      </c>
      <c r="S51" s="3" t="s">
        <v>104</v>
      </c>
      <c r="T51" s="3">
        <v>0</v>
      </c>
      <c r="U51" s="3" t="s">
        <v>105</v>
      </c>
      <c r="V51" s="3" t="str">
        <f t="shared" si="0"/>
        <v>OK</v>
      </c>
      <c r="W51" s="3" t="str">
        <f t="shared" si="1"/>
        <v>OK</v>
      </c>
      <c r="X51" s="3" t="str">
        <f t="shared" si="2"/>
        <v>OK</v>
      </c>
      <c r="Y51" s="3" t="str">
        <f t="shared" si="3"/>
        <v>OK</v>
      </c>
      <c r="Z51" s="3">
        <f t="shared" si="4"/>
        <v>0</v>
      </c>
      <c r="AA51" s="3" t="str">
        <f t="shared" si="5"/>
        <v>Low</v>
      </c>
    </row>
    <row r="52" spans="1:27">
      <c r="A52" s="3">
        <v>46087</v>
      </c>
      <c r="B52" s="3" t="s">
        <v>201</v>
      </c>
      <c r="C52" s="3" t="s">
        <v>202</v>
      </c>
      <c r="D52" s="3" t="s">
        <v>100</v>
      </c>
      <c r="E52" s="3" t="s">
        <v>203</v>
      </c>
      <c r="F52" s="3" t="s">
        <v>117</v>
      </c>
      <c r="G52" s="3" t="s">
        <v>55</v>
      </c>
      <c r="H52" s="3">
        <v>80</v>
      </c>
      <c r="I52" s="3">
        <v>0</v>
      </c>
      <c r="J52" s="3">
        <v>57.69</v>
      </c>
      <c r="K52" s="3">
        <v>0</v>
      </c>
      <c r="L52" s="3">
        <v>4615.38</v>
      </c>
      <c r="M52" s="3">
        <v>1015.38</v>
      </c>
      <c r="N52" s="3">
        <v>310</v>
      </c>
      <c r="O52" s="3">
        <v>3290</v>
      </c>
      <c r="P52" s="3">
        <v>310</v>
      </c>
      <c r="Q52" s="3">
        <v>5158.84</v>
      </c>
      <c r="R52" s="3" t="s">
        <v>103</v>
      </c>
      <c r="S52" s="3" t="s">
        <v>104</v>
      </c>
      <c r="T52" s="3">
        <v>0</v>
      </c>
      <c r="U52" s="3" t="s">
        <v>105</v>
      </c>
      <c r="V52" s="3" t="str">
        <f t="shared" si="0"/>
        <v>Flag</v>
      </c>
      <c r="W52" s="3" t="str">
        <f t="shared" si="1"/>
        <v>OK</v>
      </c>
      <c r="X52" s="3" t="str">
        <f t="shared" si="2"/>
        <v>OK</v>
      </c>
      <c r="Y52" s="3" t="str">
        <f t="shared" si="3"/>
        <v>OK</v>
      </c>
      <c r="Z52" s="3">
        <f t="shared" si="4"/>
        <v>1</v>
      </c>
      <c r="AA52" s="3" t="str">
        <f t="shared" si="5"/>
        <v>Medium</v>
      </c>
    </row>
    <row r="53" spans="1:27">
      <c r="A53" s="3">
        <v>46087</v>
      </c>
      <c r="B53" s="3" t="s">
        <v>204</v>
      </c>
      <c r="C53" s="3" t="s">
        <v>205</v>
      </c>
      <c r="D53" s="3" t="s">
        <v>100</v>
      </c>
      <c r="E53" s="3" t="s">
        <v>174</v>
      </c>
      <c r="F53" s="3" t="s">
        <v>102</v>
      </c>
      <c r="G53" s="3" t="s">
        <v>55</v>
      </c>
      <c r="H53" s="3">
        <v>80</v>
      </c>
      <c r="I53" s="3">
        <v>8</v>
      </c>
      <c r="J53" s="3">
        <v>26.92</v>
      </c>
      <c r="K53" s="3">
        <v>250</v>
      </c>
      <c r="L53" s="3">
        <v>2726.89</v>
      </c>
      <c r="M53" s="3">
        <v>599.91999999999996</v>
      </c>
      <c r="N53" s="3">
        <v>185</v>
      </c>
      <c r="O53" s="3">
        <v>1941.97</v>
      </c>
      <c r="P53" s="3">
        <v>185</v>
      </c>
      <c r="Q53" s="3">
        <v>2366.75</v>
      </c>
      <c r="R53" s="3" t="s">
        <v>103</v>
      </c>
      <c r="S53" s="3" t="s">
        <v>104</v>
      </c>
      <c r="T53" s="3">
        <v>0</v>
      </c>
      <c r="U53" s="3" t="s">
        <v>105</v>
      </c>
      <c r="V53" s="3" t="str">
        <f t="shared" si="0"/>
        <v>OK</v>
      </c>
      <c r="W53" s="3" t="str">
        <f t="shared" si="1"/>
        <v>OK</v>
      </c>
      <c r="X53" s="3" t="str">
        <f t="shared" si="2"/>
        <v>OK</v>
      </c>
      <c r="Y53" s="3" t="str">
        <f t="shared" si="3"/>
        <v>OK</v>
      </c>
      <c r="Z53" s="3">
        <f t="shared" si="4"/>
        <v>0</v>
      </c>
      <c r="AA53" s="3" t="str">
        <f t="shared" si="5"/>
        <v>Low</v>
      </c>
    </row>
    <row r="54" spans="1:27">
      <c r="A54" s="3">
        <v>46087</v>
      </c>
      <c r="B54" s="3" t="s">
        <v>206</v>
      </c>
      <c r="C54" s="3" t="s">
        <v>207</v>
      </c>
      <c r="D54" s="3" t="s">
        <v>80</v>
      </c>
      <c r="E54" s="3" t="s">
        <v>208</v>
      </c>
      <c r="F54" s="3" t="s">
        <v>102</v>
      </c>
      <c r="G54" s="3" t="s">
        <v>55</v>
      </c>
      <c r="H54" s="3">
        <v>80</v>
      </c>
      <c r="I54" s="3">
        <v>0</v>
      </c>
      <c r="J54" s="3">
        <v>31.73</v>
      </c>
      <c r="K54" s="3">
        <v>0</v>
      </c>
      <c r="L54" s="3">
        <v>2538.46</v>
      </c>
      <c r="M54" s="3">
        <v>558.46</v>
      </c>
      <c r="N54" s="3">
        <v>310</v>
      </c>
      <c r="O54" s="3">
        <v>1670</v>
      </c>
      <c r="P54" s="3">
        <v>310</v>
      </c>
      <c r="Q54" s="3">
        <v>3022.38</v>
      </c>
      <c r="R54" s="3" t="s">
        <v>103</v>
      </c>
      <c r="S54" s="3" t="s">
        <v>104</v>
      </c>
      <c r="T54" s="3">
        <v>0</v>
      </c>
      <c r="U54" s="3" t="s">
        <v>105</v>
      </c>
      <c r="V54" s="3" t="str">
        <f t="shared" si="0"/>
        <v>OK</v>
      </c>
      <c r="W54" s="3" t="str">
        <f t="shared" si="1"/>
        <v>OK</v>
      </c>
      <c r="X54" s="3" t="str">
        <f t="shared" si="2"/>
        <v>OK</v>
      </c>
      <c r="Y54" s="3" t="str">
        <f t="shared" si="3"/>
        <v>OK</v>
      </c>
      <c r="Z54" s="3">
        <f t="shared" si="4"/>
        <v>0</v>
      </c>
      <c r="AA54" s="3" t="str">
        <f t="shared" si="5"/>
        <v>Low</v>
      </c>
    </row>
    <row r="55" spans="1:27">
      <c r="A55" s="3">
        <v>46087</v>
      </c>
      <c r="B55" s="3" t="s">
        <v>209</v>
      </c>
      <c r="C55" s="3" t="s">
        <v>210</v>
      </c>
      <c r="D55" s="3" t="s">
        <v>65</v>
      </c>
      <c r="E55" s="3" t="s">
        <v>66</v>
      </c>
      <c r="F55" s="3" t="s">
        <v>62</v>
      </c>
      <c r="G55" s="3" t="s">
        <v>55</v>
      </c>
      <c r="H55" s="3">
        <v>80</v>
      </c>
      <c r="I55" s="3">
        <v>0</v>
      </c>
      <c r="J55" s="3">
        <v>56.73</v>
      </c>
      <c r="K55" s="3">
        <v>0</v>
      </c>
      <c r="L55" s="3">
        <v>4538.46</v>
      </c>
      <c r="M55" s="3">
        <v>998.46</v>
      </c>
      <c r="N55" s="3">
        <v>0</v>
      </c>
      <c r="O55" s="3">
        <v>3540</v>
      </c>
      <c r="P55" s="3">
        <v>0</v>
      </c>
      <c r="Q55" s="3">
        <v>4925.92</v>
      </c>
      <c r="R55" s="3" t="s">
        <v>56</v>
      </c>
      <c r="S55" s="3" t="s">
        <v>57</v>
      </c>
      <c r="T55" s="3">
        <v>4538.46</v>
      </c>
      <c r="U55" s="3" t="s">
        <v>58</v>
      </c>
      <c r="V55" s="3" t="str">
        <f t="shared" si="0"/>
        <v>OK</v>
      </c>
      <c r="W55" s="3" t="str">
        <f t="shared" si="1"/>
        <v>OK</v>
      </c>
      <c r="X55" s="3" t="str">
        <f t="shared" si="2"/>
        <v>OK</v>
      </c>
      <c r="Y55" s="3" t="str">
        <f t="shared" si="3"/>
        <v>OK</v>
      </c>
      <c r="Z55" s="3">
        <f t="shared" si="4"/>
        <v>0</v>
      </c>
      <c r="AA55" s="3" t="str">
        <f t="shared" si="5"/>
        <v>Low</v>
      </c>
    </row>
    <row r="56" spans="1:27">
      <c r="A56" s="3">
        <v>46087</v>
      </c>
      <c r="B56" s="3" t="s">
        <v>211</v>
      </c>
      <c r="C56" s="3" t="s">
        <v>212</v>
      </c>
      <c r="D56" s="3" t="s">
        <v>52</v>
      </c>
      <c r="E56" s="3" t="s">
        <v>61</v>
      </c>
      <c r="F56" s="3" t="s">
        <v>122</v>
      </c>
      <c r="G56" s="3" t="s">
        <v>55</v>
      </c>
      <c r="H56" s="3">
        <v>80</v>
      </c>
      <c r="I56" s="3">
        <v>2</v>
      </c>
      <c r="J56" s="3">
        <v>32.21</v>
      </c>
      <c r="K56" s="3">
        <v>0</v>
      </c>
      <c r="L56" s="3">
        <v>2673.55</v>
      </c>
      <c r="M56" s="3">
        <v>588.17999999999995</v>
      </c>
      <c r="N56" s="3">
        <v>0</v>
      </c>
      <c r="O56" s="3">
        <v>2085.37</v>
      </c>
      <c r="P56" s="3">
        <v>0</v>
      </c>
      <c r="Q56" s="3">
        <v>2936.68</v>
      </c>
      <c r="R56" s="3" t="s">
        <v>56</v>
      </c>
      <c r="S56" s="3" t="s">
        <v>57</v>
      </c>
      <c r="T56" s="3">
        <v>2673.55</v>
      </c>
      <c r="U56" s="3" t="s">
        <v>58</v>
      </c>
      <c r="V56" s="3" t="str">
        <f t="shared" si="0"/>
        <v>OK</v>
      </c>
      <c r="W56" s="3" t="str">
        <f t="shared" si="1"/>
        <v>OK</v>
      </c>
      <c r="X56" s="3" t="str">
        <f t="shared" si="2"/>
        <v>OK</v>
      </c>
      <c r="Y56" s="3" t="str">
        <f t="shared" si="3"/>
        <v>OK</v>
      </c>
      <c r="Z56" s="3">
        <f t="shared" si="4"/>
        <v>0</v>
      </c>
      <c r="AA56" s="3" t="str">
        <f t="shared" si="5"/>
        <v>Low</v>
      </c>
    </row>
    <row r="57" spans="1:27">
      <c r="A57" s="3">
        <v>46087</v>
      </c>
      <c r="B57" s="3" t="s">
        <v>213</v>
      </c>
      <c r="C57" s="3" t="s">
        <v>214</v>
      </c>
      <c r="D57" s="3" t="s">
        <v>133</v>
      </c>
      <c r="E57" s="3" t="s">
        <v>147</v>
      </c>
      <c r="F57" s="3" t="s">
        <v>62</v>
      </c>
      <c r="G57" s="3" t="s">
        <v>55</v>
      </c>
      <c r="H57" s="3">
        <v>80</v>
      </c>
      <c r="I57" s="3">
        <v>0</v>
      </c>
      <c r="J57" s="3">
        <v>58.65</v>
      </c>
      <c r="K57" s="3">
        <v>0</v>
      </c>
      <c r="L57" s="3">
        <v>4692.3100000000004</v>
      </c>
      <c r="M57" s="3">
        <v>1032.31</v>
      </c>
      <c r="N57" s="3">
        <v>185</v>
      </c>
      <c r="O57" s="3">
        <v>3475</v>
      </c>
      <c r="P57" s="3">
        <v>185</v>
      </c>
      <c r="Q57" s="3">
        <v>5422.97</v>
      </c>
      <c r="R57" s="3" t="s">
        <v>56</v>
      </c>
      <c r="S57" s="3" t="s">
        <v>57</v>
      </c>
      <c r="T57" s="3">
        <v>4692.3100000000004</v>
      </c>
      <c r="U57" s="3" t="s">
        <v>58</v>
      </c>
      <c r="V57" s="3" t="str">
        <f t="shared" si="0"/>
        <v>Flag</v>
      </c>
      <c r="W57" s="3" t="str">
        <f t="shared" si="1"/>
        <v>OK</v>
      </c>
      <c r="X57" s="3" t="str">
        <f t="shared" si="2"/>
        <v>OK</v>
      </c>
      <c r="Y57" s="3" t="str">
        <f t="shared" si="3"/>
        <v>OK</v>
      </c>
      <c r="Z57" s="3">
        <f t="shared" si="4"/>
        <v>1</v>
      </c>
      <c r="AA57" s="3" t="str">
        <f t="shared" si="5"/>
        <v>Medium</v>
      </c>
    </row>
    <row r="58" spans="1:27">
      <c r="A58" s="3">
        <v>46087</v>
      </c>
      <c r="B58" s="3" t="s">
        <v>215</v>
      </c>
      <c r="C58" s="3" t="s">
        <v>216</v>
      </c>
      <c r="D58" s="3" t="s">
        <v>133</v>
      </c>
      <c r="E58" s="3" t="s">
        <v>134</v>
      </c>
      <c r="F58" s="3" t="s">
        <v>217</v>
      </c>
      <c r="G58" s="3" t="s">
        <v>55</v>
      </c>
      <c r="H58" s="3">
        <v>80</v>
      </c>
      <c r="I58" s="3">
        <v>0</v>
      </c>
      <c r="J58" s="3">
        <v>43.27</v>
      </c>
      <c r="K58" s="3">
        <v>250</v>
      </c>
      <c r="L58" s="3">
        <v>3711.54</v>
      </c>
      <c r="M58" s="3">
        <v>816.54</v>
      </c>
      <c r="N58" s="3">
        <v>310</v>
      </c>
      <c r="O58" s="3">
        <v>2585</v>
      </c>
      <c r="P58" s="3">
        <v>310</v>
      </c>
      <c r="Q58" s="3">
        <v>3745.61</v>
      </c>
      <c r="R58" s="3" t="s">
        <v>56</v>
      </c>
      <c r="S58" s="3" t="s">
        <v>57</v>
      </c>
      <c r="T58" s="3">
        <v>3711.54</v>
      </c>
      <c r="U58" s="3" t="s">
        <v>58</v>
      </c>
      <c r="V58" s="3" t="str">
        <f t="shared" si="0"/>
        <v>OK</v>
      </c>
      <c r="W58" s="3" t="str">
        <f t="shared" si="1"/>
        <v>OK</v>
      </c>
      <c r="X58" s="3" t="str">
        <f t="shared" si="2"/>
        <v>OK</v>
      </c>
      <c r="Y58" s="3" t="str">
        <f t="shared" si="3"/>
        <v>OK</v>
      </c>
      <c r="Z58" s="3">
        <f t="shared" si="4"/>
        <v>0</v>
      </c>
      <c r="AA58" s="3" t="str">
        <f t="shared" si="5"/>
        <v>Low</v>
      </c>
    </row>
    <row r="59" spans="1:27">
      <c r="A59" s="3">
        <v>46087</v>
      </c>
      <c r="B59" s="3" t="s">
        <v>218</v>
      </c>
      <c r="C59" s="3" t="s">
        <v>219</v>
      </c>
      <c r="D59" s="3" t="s">
        <v>100</v>
      </c>
      <c r="E59" s="3" t="s">
        <v>174</v>
      </c>
      <c r="F59" s="3" t="s">
        <v>62</v>
      </c>
      <c r="G59" s="3" t="s">
        <v>55</v>
      </c>
      <c r="H59" s="3">
        <v>80</v>
      </c>
      <c r="I59" s="3">
        <v>0</v>
      </c>
      <c r="J59" s="3">
        <v>62.02</v>
      </c>
      <c r="K59" s="3">
        <v>0</v>
      </c>
      <c r="L59" s="3">
        <v>4961.54</v>
      </c>
      <c r="M59" s="3">
        <v>1091.54</v>
      </c>
      <c r="N59" s="3">
        <v>0</v>
      </c>
      <c r="O59" s="3">
        <v>3870</v>
      </c>
      <c r="P59" s="3">
        <v>0</v>
      </c>
      <c r="Q59" s="3">
        <v>5659.72</v>
      </c>
      <c r="R59" s="3" t="s">
        <v>56</v>
      </c>
      <c r="S59" s="3" t="s">
        <v>57</v>
      </c>
      <c r="T59" s="3">
        <v>4961.54</v>
      </c>
      <c r="U59" s="3" t="s">
        <v>58</v>
      </c>
      <c r="V59" s="3" t="str">
        <f t="shared" si="0"/>
        <v>Flag</v>
      </c>
      <c r="W59" s="3" t="str">
        <f t="shared" si="1"/>
        <v>OK</v>
      </c>
      <c r="X59" s="3" t="str">
        <f t="shared" si="2"/>
        <v>OK</v>
      </c>
      <c r="Y59" s="3" t="str">
        <f t="shared" si="3"/>
        <v>OK</v>
      </c>
      <c r="Z59" s="3">
        <f t="shared" si="4"/>
        <v>1</v>
      </c>
      <c r="AA59" s="3" t="str">
        <f t="shared" si="5"/>
        <v>Medium</v>
      </c>
    </row>
    <row r="60" spans="1:27">
      <c r="A60" s="3">
        <v>46087</v>
      </c>
      <c r="B60" s="3" t="s">
        <v>220</v>
      </c>
      <c r="C60" s="3" t="s">
        <v>221</v>
      </c>
      <c r="D60" s="3" t="s">
        <v>108</v>
      </c>
      <c r="E60" s="3" t="s">
        <v>185</v>
      </c>
      <c r="F60" s="3" t="s">
        <v>67</v>
      </c>
      <c r="G60" s="3" t="s">
        <v>55</v>
      </c>
      <c r="H60" s="3">
        <v>80</v>
      </c>
      <c r="I60" s="3">
        <v>2</v>
      </c>
      <c r="J60" s="3">
        <v>53.85</v>
      </c>
      <c r="K60" s="3">
        <v>0</v>
      </c>
      <c r="L60" s="3">
        <v>4469.24</v>
      </c>
      <c r="M60" s="3">
        <v>983.23</v>
      </c>
      <c r="N60" s="3">
        <v>0</v>
      </c>
      <c r="O60" s="3">
        <v>3486.01</v>
      </c>
      <c r="P60" s="3">
        <v>0</v>
      </c>
      <c r="Q60" s="3">
        <v>4520.45</v>
      </c>
      <c r="R60" s="3" t="s">
        <v>56</v>
      </c>
      <c r="S60" s="3" t="s">
        <v>57</v>
      </c>
      <c r="T60" s="3">
        <v>4469.24</v>
      </c>
      <c r="U60" s="3" t="s">
        <v>58</v>
      </c>
      <c r="V60" s="3" t="str">
        <f t="shared" si="0"/>
        <v>OK</v>
      </c>
      <c r="W60" s="3" t="str">
        <f t="shared" si="1"/>
        <v>OK</v>
      </c>
      <c r="X60" s="3" t="str">
        <f t="shared" si="2"/>
        <v>OK</v>
      </c>
      <c r="Y60" s="3" t="str">
        <f t="shared" si="3"/>
        <v>OK</v>
      </c>
      <c r="Z60" s="3">
        <f t="shared" si="4"/>
        <v>0</v>
      </c>
      <c r="AA60" s="3" t="str">
        <f t="shared" si="5"/>
        <v>Low</v>
      </c>
    </row>
    <row r="61" spans="1:27">
      <c r="A61" s="3">
        <v>46087</v>
      </c>
      <c r="B61" s="3" t="s">
        <v>222</v>
      </c>
      <c r="C61" s="3" t="s">
        <v>223</v>
      </c>
      <c r="D61" s="3" t="s">
        <v>100</v>
      </c>
      <c r="E61" s="3" t="s">
        <v>101</v>
      </c>
      <c r="F61" s="3" t="s">
        <v>102</v>
      </c>
      <c r="G61" s="3" t="s">
        <v>68</v>
      </c>
      <c r="H61" s="3">
        <v>80</v>
      </c>
      <c r="I61" s="3">
        <v>2</v>
      </c>
      <c r="J61" s="3">
        <v>30.29</v>
      </c>
      <c r="K61" s="3">
        <v>0</v>
      </c>
      <c r="L61" s="3">
        <v>2513.9499999999998</v>
      </c>
      <c r="M61" s="3">
        <v>553.07000000000005</v>
      </c>
      <c r="N61" s="3">
        <v>185</v>
      </c>
      <c r="O61" s="3">
        <v>1775.88</v>
      </c>
      <c r="P61" s="3">
        <v>185</v>
      </c>
      <c r="Q61" s="3">
        <v>2809.02</v>
      </c>
      <c r="R61" s="3" t="s">
        <v>56</v>
      </c>
      <c r="S61" s="3" t="s">
        <v>224</v>
      </c>
      <c r="T61" s="3">
        <v>2513.9499999999998</v>
      </c>
      <c r="U61" s="3" t="s">
        <v>58</v>
      </c>
      <c r="V61" s="3" t="str">
        <f t="shared" si="0"/>
        <v>OK</v>
      </c>
      <c r="W61" s="3" t="str">
        <f t="shared" si="1"/>
        <v>OK</v>
      </c>
      <c r="X61" s="3" t="str">
        <f t="shared" si="2"/>
        <v>Flag</v>
      </c>
      <c r="Y61" s="3" t="str">
        <f t="shared" si="3"/>
        <v>OK</v>
      </c>
      <c r="Z61" s="3">
        <f t="shared" si="4"/>
        <v>1</v>
      </c>
      <c r="AA61" s="3" t="str">
        <f t="shared" si="5"/>
        <v>Medium</v>
      </c>
    </row>
    <row r="62" spans="1:27">
      <c r="A62" s="3">
        <v>46087</v>
      </c>
      <c r="B62" s="3" t="s">
        <v>225</v>
      </c>
      <c r="C62" s="3" t="s">
        <v>226</v>
      </c>
      <c r="D62" s="3" t="s">
        <v>91</v>
      </c>
      <c r="E62" s="3" t="s">
        <v>92</v>
      </c>
      <c r="F62" s="3" t="s">
        <v>110</v>
      </c>
      <c r="G62" s="3" t="s">
        <v>55</v>
      </c>
      <c r="H62" s="3">
        <v>80</v>
      </c>
      <c r="I62" s="3">
        <v>8</v>
      </c>
      <c r="J62" s="3">
        <v>39.9</v>
      </c>
      <c r="K62" s="3">
        <v>0</v>
      </c>
      <c r="L62" s="3">
        <v>3671.11</v>
      </c>
      <c r="M62" s="3">
        <v>807.64</v>
      </c>
      <c r="N62" s="3">
        <v>310</v>
      </c>
      <c r="O62" s="3">
        <v>2553.4699999999998</v>
      </c>
      <c r="P62" s="3">
        <v>310</v>
      </c>
      <c r="Q62" s="3">
        <v>3684.3</v>
      </c>
      <c r="R62" s="3" t="s">
        <v>103</v>
      </c>
      <c r="S62" s="3" t="s">
        <v>104</v>
      </c>
      <c r="T62" s="3">
        <v>0</v>
      </c>
      <c r="U62" s="3" t="s">
        <v>105</v>
      </c>
      <c r="V62" s="3" t="str">
        <f t="shared" si="0"/>
        <v>OK</v>
      </c>
      <c r="W62" s="3" t="str">
        <f t="shared" si="1"/>
        <v>OK</v>
      </c>
      <c r="X62" s="3" t="str">
        <f t="shared" si="2"/>
        <v>OK</v>
      </c>
      <c r="Y62" s="3" t="str">
        <f t="shared" si="3"/>
        <v>OK</v>
      </c>
      <c r="Z62" s="3">
        <f t="shared" si="4"/>
        <v>0</v>
      </c>
      <c r="AA62" s="3" t="str">
        <f t="shared" si="5"/>
        <v>Low</v>
      </c>
    </row>
    <row r="63" spans="1:27">
      <c r="A63" s="3">
        <v>46087</v>
      </c>
      <c r="B63" s="3" t="s">
        <v>227</v>
      </c>
      <c r="C63" s="3" t="s">
        <v>228</v>
      </c>
      <c r="D63" s="3" t="s">
        <v>108</v>
      </c>
      <c r="E63" s="3" t="s">
        <v>144</v>
      </c>
      <c r="F63" s="3" t="s">
        <v>102</v>
      </c>
      <c r="G63" s="3" t="s">
        <v>55</v>
      </c>
      <c r="H63" s="3">
        <v>80</v>
      </c>
      <c r="I63" s="3">
        <v>0</v>
      </c>
      <c r="J63" s="3">
        <v>48.56</v>
      </c>
      <c r="K63" s="3">
        <v>0</v>
      </c>
      <c r="L63" s="3">
        <v>3884.62</v>
      </c>
      <c r="M63" s="3">
        <v>854.62</v>
      </c>
      <c r="N63" s="3">
        <v>310</v>
      </c>
      <c r="O63" s="3">
        <v>2720</v>
      </c>
      <c r="P63" s="3">
        <v>310</v>
      </c>
      <c r="Q63" s="3">
        <v>4103.1099999999997</v>
      </c>
      <c r="R63" s="3" t="s">
        <v>103</v>
      </c>
      <c r="S63" s="3" t="s">
        <v>104</v>
      </c>
      <c r="T63" s="3">
        <v>0</v>
      </c>
      <c r="U63" s="3" t="s">
        <v>105</v>
      </c>
      <c r="V63" s="3" t="str">
        <f t="shared" si="0"/>
        <v>OK</v>
      </c>
      <c r="W63" s="3" t="str">
        <f t="shared" si="1"/>
        <v>OK</v>
      </c>
      <c r="X63" s="3" t="str">
        <f t="shared" si="2"/>
        <v>OK</v>
      </c>
      <c r="Y63" s="3" t="str">
        <f t="shared" si="3"/>
        <v>OK</v>
      </c>
      <c r="Z63" s="3">
        <f t="shared" si="4"/>
        <v>0</v>
      </c>
      <c r="AA63" s="3" t="str">
        <f t="shared" si="5"/>
        <v>Low</v>
      </c>
    </row>
    <row r="64" spans="1:27">
      <c r="A64" s="3">
        <v>46087</v>
      </c>
      <c r="B64" s="3" t="s">
        <v>229</v>
      </c>
      <c r="C64" s="3" t="s">
        <v>230</v>
      </c>
      <c r="D64" s="3" t="s">
        <v>65</v>
      </c>
      <c r="E64" s="3" t="s">
        <v>72</v>
      </c>
      <c r="F64" s="3" t="s">
        <v>62</v>
      </c>
      <c r="G64" s="3" t="s">
        <v>55</v>
      </c>
      <c r="H64" s="3">
        <v>80</v>
      </c>
      <c r="I64" s="3">
        <v>8</v>
      </c>
      <c r="J64" s="3">
        <v>35.58</v>
      </c>
      <c r="K64" s="3">
        <v>500</v>
      </c>
      <c r="L64" s="3">
        <v>3773.11</v>
      </c>
      <c r="M64" s="3">
        <v>830.08</v>
      </c>
      <c r="N64" s="3">
        <v>0</v>
      </c>
      <c r="O64" s="3">
        <v>2943.03</v>
      </c>
      <c r="P64" s="3">
        <v>0</v>
      </c>
      <c r="Q64" s="3">
        <v>3133.01</v>
      </c>
      <c r="R64" s="3" t="s">
        <v>56</v>
      </c>
      <c r="S64" s="3" t="s">
        <v>57</v>
      </c>
      <c r="T64" s="3">
        <v>3773.11</v>
      </c>
      <c r="U64" s="3" t="s">
        <v>58</v>
      </c>
      <c r="V64" s="3" t="str">
        <f t="shared" si="0"/>
        <v>Flag</v>
      </c>
      <c r="W64" s="3" t="str">
        <f t="shared" si="1"/>
        <v>OK</v>
      </c>
      <c r="X64" s="3" t="str">
        <f t="shared" si="2"/>
        <v>OK</v>
      </c>
      <c r="Y64" s="3" t="str">
        <f t="shared" si="3"/>
        <v>OK</v>
      </c>
      <c r="Z64" s="3">
        <f t="shared" si="4"/>
        <v>1</v>
      </c>
      <c r="AA64" s="3" t="str">
        <f t="shared" si="5"/>
        <v>Medium</v>
      </c>
    </row>
    <row r="65" spans="1:27">
      <c r="A65" s="3">
        <v>46087</v>
      </c>
      <c r="B65" s="3" t="s">
        <v>231</v>
      </c>
      <c r="C65" s="3" t="s">
        <v>232</v>
      </c>
      <c r="D65" s="3" t="s">
        <v>91</v>
      </c>
      <c r="E65" s="3" t="s">
        <v>92</v>
      </c>
      <c r="F65" s="3" t="s">
        <v>77</v>
      </c>
      <c r="G65" s="3" t="s">
        <v>55</v>
      </c>
      <c r="H65" s="3">
        <v>80</v>
      </c>
      <c r="I65" s="3">
        <v>0</v>
      </c>
      <c r="J65" s="3">
        <v>53.37</v>
      </c>
      <c r="K65" s="3">
        <v>500</v>
      </c>
      <c r="L65" s="3">
        <v>4769.2299999999996</v>
      </c>
      <c r="M65" s="3">
        <v>1049.23</v>
      </c>
      <c r="N65" s="3">
        <v>0</v>
      </c>
      <c r="O65" s="3">
        <v>3720</v>
      </c>
      <c r="P65" s="3">
        <v>0</v>
      </c>
      <c r="Q65" s="3">
        <v>4789.8</v>
      </c>
      <c r="R65" s="3" t="s">
        <v>56</v>
      </c>
      <c r="S65" s="3" t="s">
        <v>57</v>
      </c>
      <c r="T65" s="3">
        <v>4769.2299999999996</v>
      </c>
      <c r="U65" s="3" t="s">
        <v>58</v>
      </c>
      <c r="V65" s="3" t="str">
        <f t="shared" si="0"/>
        <v>OK</v>
      </c>
      <c r="W65" s="3" t="str">
        <f t="shared" si="1"/>
        <v>OK</v>
      </c>
      <c r="X65" s="3" t="str">
        <f t="shared" si="2"/>
        <v>OK</v>
      </c>
      <c r="Y65" s="3" t="str">
        <f t="shared" si="3"/>
        <v>OK</v>
      </c>
      <c r="Z65" s="3">
        <f t="shared" si="4"/>
        <v>0</v>
      </c>
      <c r="AA65" s="3" t="str">
        <f t="shared" si="5"/>
        <v>Low</v>
      </c>
    </row>
    <row r="66" spans="1:27">
      <c r="A66" s="3">
        <v>46087</v>
      </c>
      <c r="B66" s="3" t="s">
        <v>233</v>
      </c>
      <c r="C66" s="3" t="s">
        <v>182</v>
      </c>
      <c r="D66" s="3" t="s">
        <v>80</v>
      </c>
      <c r="E66" s="3" t="s">
        <v>208</v>
      </c>
      <c r="F66" s="3" t="s">
        <v>102</v>
      </c>
      <c r="G66" s="3" t="s">
        <v>55</v>
      </c>
      <c r="H66" s="3">
        <v>80</v>
      </c>
      <c r="I66" s="3">
        <v>6</v>
      </c>
      <c r="J66" s="3">
        <v>50.96</v>
      </c>
      <c r="K66" s="3">
        <v>250</v>
      </c>
      <c r="L66" s="3">
        <v>4785.5600000000004</v>
      </c>
      <c r="M66" s="3">
        <v>1052.82</v>
      </c>
      <c r="N66" s="3">
        <v>0</v>
      </c>
      <c r="O66" s="3">
        <v>3732.74</v>
      </c>
      <c r="P66" s="3">
        <v>0</v>
      </c>
      <c r="Q66" s="3">
        <v>4725.47</v>
      </c>
      <c r="R66" s="3" t="s">
        <v>103</v>
      </c>
      <c r="S66" s="3" t="s">
        <v>104</v>
      </c>
      <c r="T66" s="3">
        <v>0</v>
      </c>
      <c r="U66" s="3" t="s">
        <v>105</v>
      </c>
      <c r="V66" s="3" t="str">
        <f t="shared" si="0"/>
        <v>OK</v>
      </c>
      <c r="W66" s="3" t="str">
        <f t="shared" si="1"/>
        <v>OK</v>
      </c>
      <c r="X66" s="3" t="str">
        <f t="shared" si="2"/>
        <v>OK</v>
      </c>
      <c r="Y66" s="3" t="str">
        <f t="shared" si="3"/>
        <v>OK</v>
      </c>
      <c r="Z66" s="3">
        <f t="shared" si="4"/>
        <v>0</v>
      </c>
      <c r="AA66" s="3" t="str">
        <f t="shared" si="5"/>
        <v>Low</v>
      </c>
    </row>
    <row r="67" spans="1:27">
      <c r="A67" s="3">
        <v>46087</v>
      </c>
      <c r="B67" s="3" t="s">
        <v>234</v>
      </c>
      <c r="C67" s="3" t="s">
        <v>235</v>
      </c>
      <c r="D67" s="3" t="s">
        <v>108</v>
      </c>
      <c r="E67" s="3" t="s">
        <v>144</v>
      </c>
      <c r="F67" s="3" t="s">
        <v>54</v>
      </c>
      <c r="G67" s="3" t="s">
        <v>55</v>
      </c>
      <c r="H67" s="3">
        <v>80</v>
      </c>
      <c r="I67" s="3">
        <v>0</v>
      </c>
      <c r="J67" s="3">
        <v>41.83</v>
      </c>
      <c r="K67" s="3">
        <v>0</v>
      </c>
      <c r="L67" s="3">
        <v>3346.15</v>
      </c>
      <c r="M67" s="3">
        <v>736.15</v>
      </c>
      <c r="N67" s="3">
        <v>0</v>
      </c>
      <c r="O67" s="3">
        <v>2610</v>
      </c>
      <c r="P67" s="3">
        <v>0</v>
      </c>
      <c r="Q67" s="3">
        <v>3618.66</v>
      </c>
      <c r="R67" s="3" t="s">
        <v>56</v>
      </c>
      <c r="S67" s="3" t="s">
        <v>57</v>
      </c>
      <c r="T67" s="3">
        <v>3346.15</v>
      </c>
      <c r="U67" s="3" t="s">
        <v>58</v>
      </c>
      <c r="V67" s="3" t="str">
        <f t="shared" ref="V67:V127" si="6">IF(ABS(L67-Q67)&gt;500,"Flag","OK")</f>
        <v>OK</v>
      </c>
      <c r="W67" s="3" t="str">
        <f t="shared" ref="W67:W127" si="7">IF(I67&gt;20,"Flag","OK")</f>
        <v>OK</v>
      </c>
      <c r="X67" s="3" t="str">
        <f t="shared" ref="X67:X127" si="8">IF(G67="Terminated","Flag","OK")</f>
        <v>OK</v>
      </c>
      <c r="Y67" s="3" t="str">
        <f t="shared" ref="Y67:Y127" si="9">IF(ABS(L67-(M67+N67+O67))&gt;1,"Mismatch","OK")</f>
        <v>OK</v>
      </c>
      <c r="Z67" s="3">
        <f t="shared" ref="Z67:Z127" si="10">IF(V67="Flag",1,0)
 +IF(W67="Flag",1,0)
 +IF(X67="Flag",1,0)
 +IF(Y67="Mismatch",1,0)</f>
        <v>0</v>
      </c>
      <c r="AA67" s="3" t="str">
        <f t="shared" ref="AA67:AA127" si="11">IF(Z67=0,"Low",
 IF(Z67=1,"Medium",
 "High"))</f>
        <v>Low</v>
      </c>
    </row>
    <row r="68" spans="1:27">
      <c r="A68" s="3">
        <v>46087</v>
      </c>
      <c r="B68" s="3" t="s">
        <v>236</v>
      </c>
      <c r="C68" s="3" t="s">
        <v>237</v>
      </c>
      <c r="D68" s="3" t="s">
        <v>100</v>
      </c>
      <c r="E68" s="3" t="s">
        <v>203</v>
      </c>
      <c r="F68" s="3" t="s">
        <v>84</v>
      </c>
      <c r="G68" s="3" t="s">
        <v>55</v>
      </c>
      <c r="H68" s="3">
        <v>80</v>
      </c>
      <c r="I68" s="3">
        <v>8</v>
      </c>
      <c r="J68" s="3">
        <v>39.42</v>
      </c>
      <c r="K68" s="3">
        <v>0</v>
      </c>
      <c r="L68" s="3">
        <v>3626.89</v>
      </c>
      <c r="M68" s="3">
        <v>797.92</v>
      </c>
      <c r="N68" s="3">
        <v>310</v>
      </c>
      <c r="O68" s="3">
        <v>2643.97</v>
      </c>
      <c r="P68" s="3">
        <v>310</v>
      </c>
      <c r="Q68" s="3">
        <v>3339.17</v>
      </c>
      <c r="R68" s="3" t="s">
        <v>56</v>
      </c>
      <c r="S68" s="3" t="s">
        <v>141</v>
      </c>
      <c r="T68" s="3">
        <v>3626.89</v>
      </c>
      <c r="U68" s="3" t="s">
        <v>58</v>
      </c>
      <c r="V68" s="3" t="str">
        <f t="shared" si="6"/>
        <v>OK</v>
      </c>
      <c r="W68" s="3" t="str">
        <f t="shared" si="7"/>
        <v>OK</v>
      </c>
      <c r="X68" s="3" t="str">
        <f t="shared" si="8"/>
        <v>OK</v>
      </c>
      <c r="Y68" s="3" t="str">
        <f t="shared" si="9"/>
        <v>Mismatch</v>
      </c>
      <c r="Z68" s="3">
        <f t="shared" si="10"/>
        <v>1</v>
      </c>
      <c r="AA68" s="3" t="str">
        <f t="shared" si="11"/>
        <v>Medium</v>
      </c>
    </row>
    <row r="69" spans="1:27">
      <c r="A69" s="3">
        <v>46087</v>
      </c>
      <c r="B69" s="3" t="s">
        <v>238</v>
      </c>
      <c r="C69" s="3" t="s">
        <v>239</v>
      </c>
      <c r="D69" s="3" t="s">
        <v>52</v>
      </c>
      <c r="E69" s="3" t="s">
        <v>53</v>
      </c>
      <c r="F69" s="3" t="s">
        <v>217</v>
      </c>
      <c r="G69" s="3" t="s">
        <v>55</v>
      </c>
      <c r="H69" s="3">
        <v>80</v>
      </c>
      <c r="I69" s="3">
        <v>0</v>
      </c>
      <c r="J69" s="3">
        <v>48.56</v>
      </c>
      <c r="K69" s="3">
        <v>500</v>
      </c>
      <c r="L69" s="3">
        <v>4384.62</v>
      </c>
      <c r="M69" s="3">
        <v>964.62</v>
      </c>
      <c r="N69" s="3">
        <v>0</v>
      </c>
      <c r="O69" s="3">
        <v>3420</v>
      </c>
      <c r="P69" s="3">
        <v>0</v>
      </c>
      <c r="Q69" s="3">
        <v>4202.43</v>
      </c>
      <c r="R69" s="3" t="s">
        <v>56</v>
      </c>
      <c r="S69" s="3" t="s">
        <v>57</v>
      </c>
      <c r="T69" s="3">
        <v>4384.62</v>
      </c>
      <c r="U69" s="3" t="s">
        <v>58</v>
      </c>
      <c r="V69" s="3" t="str">
        <f t="shared" si="6"/>
        <v>OK</v>
      </c>
      <c r="W69" s="3" t="str">
        <f t="shared" si="7"/>
        <v>OK</v>
      </c>
      <c r="X69" s="3" t="str">
        <f t="shared" si="8"/>
        <v>OK</v>
      </c>
      <c r="Y69" s="3" t="str">
        <f t="shared" si="9"/>
        <v>OK</v>
      </c>
      <c r="Z69" s="3">
        <f t="shared" si="10"/>
        <v>0</v>
      </c>
      <c r="AA69" s="3" t="str">
        <f t="shared" si="11"/>
        <v>Low</v>
      </c>
    </row>
    <row r="70" spans="1:27">
      <c r="A70" s="3">
        <v>46087</v>
      </c>
      <c r="B70" s="3" t="s">
        <v>240</v>
      </c>
      <c r="C70" s="3" t="s">
        <v>241</v>
      </c>
      <c r="D70" s="3" t="s">
        <v>52</v>
      </c>
      <c r="E70" s="3" t="s">
        <v>113</v>
      </c>
      <c r="F70" s="3" t="s">
        <v>62</v>
      </c>
      <c r="G70" s="3" t="s">
        <v>55</v>
      </c>
      <c r="H70" s="3">
        <v>80</v>
      </c>
      <c r="I70" s="3">
        <v>0</v>
      </c>
      <c r="J70" s="3">
        <v>58.17</v>
      </c>
      <c r="K70" s="3">
        <v>0</v>
      </c>
      <c r="L70" s="3">
        <v>4653.8500000000004</v>
      </c>
      <c r="M70" s="3">
        <v>1023.85</v>
      </c>
      <c r="N70" s="3">
        <v>310</v>
      </c>
      <c r="O70" s="3">
        <v>3320</v>
      </c>
      <c r="P70" s="3">
        <v>310</v>
      </c>
      <c r="Q70" s="3">
        <v>4963.5200000000004</v>
      </c>
      <c r="R70" s="3" t="s">
        <v>56</v>
      </c>
      <c r="S70" s="3" t="s">
        <v>57</v>
      </c>
      <c r="T70" s="3">
        <v>4653.8500000000004</v>
      </c>
      <c r="U70" s="3" t="s">
        <v>58</v>
      </c>
      <c r="V70" s="3" t="str">
        <f t="shared" si="6"/>
        <v>OK</v>
      </c>
      <c r="W70" s="3" t="str">
        <f t="shared" si="7"/>
        <v>OK</v>
      </c>
      <c r="X70" s="3" t="str">
        <f t="shared" si="8"/>
        <v>OK</v>
      </c>
      <c r="Y70" s="3" t="str">
        <f t="shared" si="9"/>
        <v>OK</v>
      </c>
      <c r="Z70" s="3">
        <f t="shared" si="10"/>
        <v>0</v>
      </c>
      <c r="AA70" s="3" t="str">
        <f t="shared" si="11"/>
        <v>Low</v>
      </c>
    </row>
    <row r="71" spans="1:27">
      <c r="A71" s="3">
        <v>46087</v>
      </c>
      <c r="B71" s="3" t="s">
        <v>242</v>
      </c>
      <c r="C71" s="3" t="s">
        <v>243</v>
      </c>
      <c r="D71" s="3" t="s">
        <v>133</v>
      </c>
      <c r="E71" s="3" t="s">
        <v>147</v>
      </c>
      <c r="F71" s="3" t="s">
        <v>102</v>
      </c>
      <c r="G71" s="3" t="s">
        <v>55</v>
      </c>
      <c r="H71" s="3">
        <v>80</v>
      </c>
      <c r="I71" s="3">
        <v>2</v>
      </c>
      <c r="J71" s="3">
        <v>60.1</v>
      </c>
      <c r="K71" s="3">
        <v>250</v>
      </c>
      <c r="L71" s="3">
        <v>5237.99</v>
      </c>
      <c r="M71" s="3">
        <v>1152.3599999999999</v>
      </c>
      <c r="N71" s="3">
        <v>310</v>
      </c>
      <c r="O71" s="3">
        <v>3775.63</v>
      </c>
      <c r="P71" s="3">
        <v>310</v>
      </c>
      <c r="Q71" s="3">
        <v>5402.51</v>
      </c>
      <c r="R71" s="3" t="s">
        <v>103</v>
      </c>
      <c r="S71" s="3" t="s">
        <v>104</v>
      </c>
      <c r="T71" s="3">
        <v>0</v>
      </c>
      <c r="U71" s="3" t="s">
        <v>105</v>
      </c>
      <c r="V71" s="3" t="str">
        <f t="shared" si="6"/>
        <v>OK</v>
      </c>
      <c r="W71" s="3" t="str">
        <f t="shared" si="7"/>
        <v>OK</v>
      </c>
      <c r="X71" s="3" t="str">
        <f t="shared" si="8"/>
        <v>OK</v>
      </c>
      <c r="Y71" s="3" t="str">
        <f t="shared" si="9"/>
        <v>OK</v>
      </c>
      <c r="Z71" s="3">
        <f t="shared" si="10"/>
        <v>0</v>
      </c>
      <c r="AA71" s="3" t="str">
        <f t="shared" si="11"/>
        <v>Low</v>
      </c>
    </row>
    <row r="72" spans="1:27">
      <c r="A72" s="3">
        <v>46087</v>
      </c>
      <c r="B72" s="3" t="s">
        <v>244</v>
      </c>
      <c r="C72" s="3" t="s">
        <v>245</v>
      </c>
      <c r="D72" s="3" t="s">
        <v>100</v>
      </c>
      <c r="E72" s="3" t="s">
        <v>203</v>
      </c>
      <c r="F72" s="3" t="s">
        <v>62</v>
      </c>
      <c r="G72" s="3" t="s">
        <v>55</v>
      </c>
      <c r="H72" s="3">
        <v>80</v>
      </c>
      <c r="I72" s="3">
        <v>0</v>
      </c>
      <c r="J72" s="3">
        <v>58.17</v>
      </c>
      <c r="K72" s="3">
        <v>500</v>
      </c>
      <c r="L72" s="3">
        <v>5153.8500000000004</v>
      </c>
      <c r="M72" s="3">
        <v>1133.8499999999999</v>
      </c>
      <c r="N72" s="3">
        <v>0</v>
      </c>
      <c r="O72" s="3">
        <v>4020</v>
      </c>
      <c r="P72" s="3">
        <v>0</v>
      </c>
      <c r="Q72" s="3">
        <v>5165.62</v>
      </c>
      <c r="R72" s="3" t="s">
        <v>56</v>
      </c>
      <c r="S72" s="3" t="s">
        <v>57</v>
      </c>
      <c r="T72" s="3">
        <v>5153.8500000000004</v>
      </c>
      <c r="U72" s="3" t="s">
        <v>58</v>
      </c>
      <c r="V72" s="3" t="str">
        <f t="shared" si="6"/>
        <v>OK</v>
      </c>
      <c r="W72" s="3" t="str">
        <f t="shared" si="7"/>
        <v>OK</v>
      </c>
      <c r="X72" s="3" t="str">
        <f t="shared" si="8"/>
        <v>OK</v>
      </c>
      <c r="Y72" s="3" t="str">
        <f t="shared" si="9"/>
        <v>OK</v>
      </c>
      <c r="Z72" s="3">
        <f t="shared" si="10"/>
        <v>0</v>
      </c>
      <c r="AA72" s="3" t="str">
        <f t="shared" si="11"/>
        <v>Low</v>
      </c>
    </row>
    <row r="73" spans="1:27">
      <c r="A73" s="3">
        <v>46087</v>
      </c>
      <c r="B73" s="3" t="s">
        <v>246</v>
      </c>
      <c r="C73" s="3" t="s">
        <v>247</v>
      </c>
      <c r="D73" s="3" t="s">
        <v>100</v>
      </c>
      <c r="E73" s="3" t="s">
        <v>203</v>
      </c>
      <c r="F73" s="3" t="s">
        <v>77</v>
      </c>
      <c r="G73" s="3" t="s">
        <v>55</v>
      </c>
      <c r="H73" s="3">
        <v>80</v>
      </c>
      <c r="I73" s="3">
        <v>0</v>
      </c>
      <c r="J73" s="3">
        <v>48.56</v>
      </c>
      <c r="K73" s="3">
        <v>0</v>
      </c>
      <c r="L73" s="3">
        <v>3884.62</v>
      </c>
      <c r="M73" s="3">
        <v>854.62</v>
      </c>
      <c r="N73" s="3">
        <v>310</v>
      </c>
      <c r="O73" s="3">
        <v>2720</v>
      </c>
      <c r="P73" s="3">
        <v>310</v>
      </c>
      <c r="Q73" s="3">
        <v>4200.12</v>
      </c>
      <c r="R73" s="3" t="s">
        <v>56</v>
      </c>
      <c r="S73" s="3" t="s">
        <v>57</v>
      </c>
      <c r="T73" s="3">
        <v>3884.62</v>
      </c>
      <c r="U73" s="3" t="s">
        <v>58</v>
      </c>
      <c r="V73" s="3" t="str">
        <f t="shared" si="6"/>
        <v>OK</v>
      </c>
      <c r="W73" s="3" t="str">
        <f t="shared" si="7"/>
        <v>OK</v>
      </c>
      <c r="X73" s="3" t="str">
        <f t="shared" si="8"/>
        <v>OK</v>
      </c>
      <c r="Y73" s="3" t="str">
        <f t="shared" si="9"/>
        <v>OK</v>
      </c>
      <c r="Z73" s="3">
        <f t="shared" si="10"/>
        <v>0</v>
      </c>
      <c r="AA73" s="3" t="str">
        <f t="shared" si="11"/>
        <v>Low</v>
      </c>
    </row>
    <row r="74" spans="1:27">
      <c r="A74" s="3">
        <v>46087</v>
      </c>
      <c r="B74" s="3" t="s">
        <v>248</v>
      </c>
      <c r="C74" s="3" t="s">
        <v>249</v>
      </c>
      <c r="D74" s="3" t="s">
        <v>108</v>
      </c>
      <c r="E74" s="3" t="s">
        <v>109</v>
      </c>
      <c r="F74" s="3" t="s">
        <v>102</v>
      </c>
      <c r="G74" s="3" t="s">
        <v>55</v>
      </c>
      <c r="H74" s="3">
        <v>80</v>
      </c>
      <c r="I74" s="3">
        <v>8</v>
      </c>
      <c r="J74" s="3">
        <v>26.44</v>
      </c>
      <c r="K74" s="3">
        <v>0</v>
      </c>
      <c r="L74" s="3">
        <v>2432.66</v>
      </c>
      <c r="M74" s="3">
        <v>535.19000000000005</v>
      </c>
      <c r="N74" s="3">
        <v>310</v>
      </c>
      <c r="O74" s="3">
        <v>1587.47</v>
      </c>
      <c r="P74" s="3">
        <v>310</v>
      </c>
      <c r="Q74" s="3">
        <v>2511.6999999999998</v>
      </c>
      <c r="R74" s="3" t="s">
        <v>103</v>
      </c>
      <c r="S74" s="3" t="s">
        <v>104</v>
      </c>
      <c r="T74" s="3">
        <v>0</v>
      </c>
      <c r="U74" s="3" t="s">
        <v>105</v>
      </c>
      <c r="V74" s="3" t="str">
        <f t="shared" si="6"/>
        <v>OK</v>
      </c>
      <c r="W74" s="3" t="str">
        <f t="shared" si="7"/>
        <v>OK</v>
      </c>
      <c r="X74" s="3" t="str">
        <f t="shared" si="8"/>
        <v>OK</v>
      </c>
      <c r="Y74" s="3" t="str">
        <f t="shared" si="9"/>
        <v>OK</v>
      </c>
      <c r="Z74" s="3">
        <f t="shared" si="10"/>
        <v>0</v>
      </c>
      <c r="AA74" s="3" t="str">
        <f t="shared" si="11"/>
        <v>Low</v>
      </c>
    </row>
    <row r="75" spans="1:27">
      <c r="A75" s="3">
        <v>46087</v>
      </c>
      <c r="B75" s="3" t="s">
        <v>250</v>
      </c>
      <c r="C75" s="3" t="s">
        <v>251</v>
      </c>
      <c r="D75" s="3" t="s">
        <v>65</v>
      </c>
      <c r="E75" s="3" t="s">
        <v>72</v>
      </c>
      <c r="F75" s="3" t="s">
        <v>62</v>
      </c>
      <c r="G75" s="3" t="s">
        <v>55</v>
      </c>
      <c r="H75" s="3">
        <v>80</v>
      </c>
      <c r="I75" s="3">
        <v>0</v>
      </c>
      <c r="J75" s="3">
        <v>53.37</v>
      </c>
      <c r="K75" s="3">
        <v>0</v>
      </c>
      <c r="L75" s="3">
        <v>4269.2299999999996</v>
      </c>
      <c r="M75" s="3">
        <v>939.23</v>
      </c>
      <c r="N75" s="3">
        <v>185</v>
      </c>
      <c r="O75" s="3">
        <v>3145</v>
      </c>
      <c r="P75" s="3">
        <v>185</v>
      </c>
      <c r="Q75" s="3">
        <v>4463.24</v>
      </c>
      <c r="R75" s="3" t="s">
        <v>56</v>
      </c>
      <c r="S75" s="3" t="s">
        <v>57</v>
      </c>
      <c r="T75" s="3">
        <v>4269.2299999999996</v>
      </c>
      <c r="U75" s="3" t="s">
        <v>58</v>
      </c>
      <c r="V75" s="3" t="str">
        <f t="shared" si="6"/>
        <v>OK</v>
      </c>
      <c r="W75" s="3" t="str">
        <f t="shared" si="7"/>
        <v>OK</v>
      </c>
      <c r="X75" s="3" t="str">
        <f t="shared" si="8"/>
        <v>OK</v>
      </c>
      <c r="Y75" s="3" t="str">
        <f t="shared" si="9"/>
        <v>OK</v>
      </c>
      <c r="Z75" s="3">
        <f t="shared" si="10"/>
        <v>0</v>
      </c>
      <c r="AA75" s="3" t="str">
        <f t="shared" si="11"/>
        <v>Low</v>
      </c>
    </row>
    <row r="76" spans="1:27">
      <c r="A76" s="3">
        <v>46087</v>
      </c>
      <c r="B76" s="3" t="s">
        <v>252</v>
      </c>
      <c r="C76" s="3" t="s">
        <v>253</v>
      </c>
      <c r="D76" s="3" t="s">
        <v>80</v>
      </c>
      <c r="E76" s="3" t="s">
        <v>88</v>
      </c>
      <c r="F76" s="3" t="s">
        <v>77</v>
      </c>
      <c r="G76" s="3" t="s">
        <v>55</v>
      </c>
      <c r="H76" s="3">
        <v>80</v>
      </c>
      <c r="I76" s="3">
        <v>8</v>
      </c>
      <c r="J76" s="3">
        <v>45.67</v>
      </c>
      <c r="K76" s="3">
        <v>0</v>
      </c>
      <c r="L76" s="3">
        <v>4201.8900000000003</v>
      </c>
      <c r="M76" s="3">
        <v>924.42</v>
      </c>
      <c r="N76" s="3">
        <v>310</v>
      </c>
      <c r="O76" s="3">
        <v>2967.47</v>
      </c>
      <c r="P76" s="3">
        <v>310</v>
      </c>
      <c r="Q76" s="3">
        <v>4130.2</v>
      </c>
      <c r="R76" s="3" t="s">
        <v>56</v>
      </c>
      <c r="S76" s="3" t="s">
        <v>57</v>
      </c>
      <c r="T76" s="3">
        <v>4201.8900000000003</v>
      </c>
      <c r="U76" s="3" t="s">
        <v>58</v>
      </c>
      <c r="V76" s="3" t="str">
        <f t="shared" si="6"/>
        <v>OK</v>
      </c>
      <c r="W76" s="3" t="str">
        <f t="shared" si="7"/>
        <v>OK</v>
      </c>
      <c r="X76" s="3" t="str">
        <f t="shared" si="8"/>
        <v>OK</v>
      </c>
      <c r="Y76" s="3" t="str">
        <f t="shared" si="9"/>
        <v>OK</v>
      </c>
      <c r="Z76" s="3">
        <f t="shared" si="10"/>
        <v>0</v>
      </c>
      <c r="AA76" s="3" t="str">
        <f t="shared" si="11"/>
        <v>Low</v>
      </c>
    </row>
    <row r="77" spans="1:27">
      <c r="A77" s="3">
        <v>46087</v>
      </c>
      <c r="B77" s="3" t="s">
        <v>254</v>
      </c>
      <c r="C77" s="3" t="s">
        <v>255</v>
      </c>
      <c r="D77" s="3" t="s">
        <v>133</v>
      </c>
      <c r="E77" s="3" t="s">
        <v>147</v>
      </c>
      <c r="F77" s="3" t="s">
        <v>84</v>
      </c>
      <c r="G77" s="3" t="s">
        <v>55</v>
      </c>
      <c r="H77" s="3">
        <v>80</v>
      </c>
      <c r="I77" s="3">
        <v>4</v>
      </c>
      <c r="J77" s="3">
        <v>25.96</v>
      </c>
      <c r="K77" s="3">
        <v>500</v>
      </c>
      <c r="L77" s="3">
        <v>2732.68</v>
      </c>
      <c r="M77" s="3">
        <v>601.19000000000005</v>
      </c>
      <c r="N77" s="3">
        <v>0</v>
      </c>
      <c r="O77" s="3">
        <v>2131.4899999999998</v>
      </c>
      <c r="P77" s="3">
        <v>0</v>
      </c>
      <c r="Q77" s="3">
        <v>2386.8000000000002</v>
      </c>
      <c r="R77" s="3" t="s">
        <v>103</v>
      </c>
      <c r="S77" s="3" t="s">
        <v>104</v>
      </c>
      <c r="T77" s="3">
        <v>0</v>
      </c>
      <c r="U77" s="3" t="s">
        <v>105</v>
      </c>
      <c r="V77" s="3" t="str">
        <f t="shared" si="6"/>
        <v>OK</v>
      </c>
      <c r="W77" s="3" t="str">
        <f t="shared" si="7"/>
        <v>OK</v>
      </c>
      <c r="X77" s="3" t="str">
        <f t="shared" si="8"/>
        <v>OK</v>
      </c>
      <c r="Y77" s="3" t="str">
        <f t="shared" si="9"/>
        <v>OK</v>
      </c>
      <c r="Z77" s="3">
        <f t="shared" si="10"/>
        <v>0</v>
      </c>
      <c r="AA77" s="3" t="str">
        <f t="shared" si="11"/>
        <v>Low</v>
      </c>
    </row>
    <row r="78" spans="1:27">
      <c r="A78" s="3">
        <v>46087</v>
      </c>
      <c r="B78" s="3" t="s">
        <v>256</v>
      </c>
      <c r="C78" s="3" t="s">
        <v>257</v>
      </c>
      <c r="D78" s="3" t="s">
        <v>91</v>
      </c>
      <c r="E78" s="3" t="s">
        <v>258</v>
      </c>
      <c r="F78" s="3" t="s">
        <v>84</v>
      </c>
      <c r="G78" s="3" t="s">
        <v>55</v>
      </c>
      <c r="H78" s="3">
        <v>80</v>
      </c>
      <c r="I78" s="3">
        <v>4</v>
      </c>
      <c r="J78" s="3">
        <v>26.44</v>
      </c>
      <c r="K78" s="3">
        <v>2500</v>
      </c>
      <c r="L78" s="3">
        <v>4774.0200000000004</v>
      </c>
      <c r="M78" s="3">
        <v>1050.28</v>
      </c>
      <c r="N78" s="3">
        <v>185</v>
      </c>
      <c r="O78" s="3">
        <v>3538.74</v>
      </c>
      <c r="P78" s="3">
        <v>185</v>
      </c>
      <c r="Q78" s="3">
        <v>2399.14</v>
      </c>
      <c r="R78" s="3" t="s">
        <v>56</v>
      </c>
      <c r="S78" s="3" t="s">
        <v>85</v>
      </c>
      <c r="T78" s="3">
        <v>4774.0200000000004</v>
      </c>
      <c r="U78" s="3" t="s">
        <v>58</v>
      </c>
      <c r="V78" s="3" t="str">
        <f t="shared" si="6"/>
        <v>Flag</v>
      </c>
      <c r="W78" s="3" t="str">
        <f t="shared" si="7"/>
        <v>OK</v>
      </c>
      <c r="X78" s="3" t="str">
        <f t="shared" si="8"/>
        <v>OK</v>
      </c>
      <c r="Y78" s="3" t="str">
        <f t="shared" si="9"/>
        <v>OK</v>
      </c>
      <c r="Z78" s="3">
        <f t="shared" si="10"/>
        <v>1</v>
      </c>
      <c r="AA78" s="3" t="str">
        <f t="shared" si="11"/>
        <v>Medium</v>
      </c>
    </row>
    <row r="79" spans="1:27">
      <c r="A79" s="3">
        <v>46087</v>
      </c>
      <c r="B79" s="3" t="s">
        <v>259</v>
      </c>
      <c r="C79" s="3" t="s">
        <v>260</v>
      </c>
      <c r="D79" s="3" t="s">
        <v>129</v>
      </c>
      <c r="E79" s="3" t="s">
        <v>162</v>
      </c>
      <c r="F79" s="3" t="s">
        <v>217</v>
      </c>
      <c r="G79" s="3" t="s">
        <v>55</v>
      </c>
      <c r="H79" s="3">
        <v>80</v>
      </c>
      <c r="I79" s="3">
        <v>2</v>
      </c>
      <c r="J79" s="3">
        <v>31.73</v>
      </c>
      <c r="K79" s="3">
        <v>0</v>
      </c>
      <c r="L79" s="3">
        <v>2633.65</v>
      </c>
      <c r="M79" s="3">
        <v>579.4</v>
      </c>
      <c r="N79" s="3">
        <v>0</v>
      </c>
      <c r="O79" s="3">
        <v>2054.25</v>
      </c>
      <c r="P79" s="3">
        <v>0</v>
      </c>
      <c r="Q79" s="3">
        <v>2682.99</v>
      </c>
      <c r="R79" s="3" t="s">
        <v>56</v>
      </c>
      <c r="S79" s="3" t="s">
        <v>57</v>
      </c>
      <c r="T79" s="3">
        <v>2633.65</v>
      </c>
      <c r="U79" s="3" t="s">
        <v>58</v>
      </c>
      <c r="V79" s="3" t="str">
        <f t="shared" si="6"/>
        <v>OK</v>
      </c>
      <c r="W79" s="3" t="str">
        <f t="shared" si="7"/>
        <v>OK</v>
      </c>
      <c r="X79" s="3" t="str">
        <f t="shared" si="8"/>
        <v>OK</v>
      </c>
      <c r="Y79" s="3" t="str">
        <f t="shared" si="9"/>
        <v>OK</v>
      </c>
      <c r="Z79" s="3">
        <f t="shared" si="10"/>
        <v>0</v>
      </c>
      <c r="AA79" s="3" t="str">
        <f t="shared" si="11"/>
        <v>Low</v>
      </c>
    </row>
    <row r="80" spans="1:27">
      <c r="A80" s="3">
        <v>46087</v>
      </c>
      <c r="B80" s="3" t="s">
        <v>261</v>
      </c>
      <c r="C80" s="3" t="s">
        <v>262</v>
      </c>
      <c r="D80" s="3" t="s">
        <v>100</v>
      </c>
      <c r="E80" s="3" t="s">
        <v>203</v>
      </c>
      <c r="F80" s="3" t="s">
        <v>217</v>
      </c>
      <c r="G80" s="3" t="s">
        <v>55</v>
      </c>
      <c r="H80" s="3">
        <v>80</v>
      </c>
      <c r="I80" s="3">
        <v>8</v>
      </c>
      <c r="J80" s="3">
        <v>34.619999999999997</v>
      </c>
      <c r="K80" s="3">
        <v>0</v>
      </c>
      <c r="L80" s="3">
        <v>3184.67</v>
      </c>
      <c r="M80" s="3">
        <v>700.63</v>
      </c>
      <c r="N80" s="3">
        <v>310</v>
      </c>
      <c r="O80" s="3">
        <v>2174.04</v>
      </c>
      <c r="P80" s="3">
        <v>310</v>
      </c>
      <c r="Q80" s="3">
        <v>3323.43</v>
      </c>
      <c r="R80" s="3" t="s">
        <v>56</v>
      </c>
      <c r="S80" s="3" t="s">
        <v>57</v>
      </c>
      <c r="T80" s="3">
        <v>3184.67</v>
      </c>
      <c r="U80" s="3" t="s">
        <v>58</v>
      </c>
      <c r="V80" s="3" t="str">
        <f t="shared" si="6"/>
        <v>OK</v>
      </c>
      <c r="W80" s="3" t="str">
        <f t="shared" si="7"/>
        <v>OK</v>
      </c>
      <c r="X80" s="3" t="str">
        <f t="shared" si="8"/>
        <v>OK</v>
      </c>
      <c r="Y80" s="3" t="str">
        <f t="shared" si="9"/>
        <v>OK</v>
      </c>
      <c r="Z80" s="3">
        <f t="shared" si="10"/>
        <v>0</v>
      </c>
      <c r="AA80" s="3" t="str">
        <f t="shared" si="11"/>
        <v>Low</v>
      </c>
    </row>
    <row r="81" spans="1:27">
      <c r="A81" s="3">
        <v>46087</v>
      </c>
      <c r="B81" s="3" t="s">
        <v>263</v>
      </c>
      <c r="C81" s="3" t="s">
        <v>264</v>
      </c>
      <c r="D81" s="3" t="s">
        <v>100</v>
      </c>
      <c r="E81" s="3" t="s">
        <v>101</v>
      </c>
      <c r="F81" s="3" t="s">
        <v>62</v>
      </c>
      <c r="G81" s="3" t="s">
        <v>55</v>
      </c>
      <c r="H81" s="3">
        <v>80</v>
      </c>
      <c r="I81" s="3">
        <v>0</v>
      </c>
      <c r="J81" s="3">
        <v>37.020000000000003</v>
      </c>
      <c r="K81" s="3">
        <v>0</v>
      </c>
      <c r="L81" s="3">
        <v>2961.54</v>
      </c>
      <c r="M81" s="3">
        <v>651.54</v>
      </c>
      <c r="N81" s="3">
        <v>185</v>
      </c>
      <c r="O81" s="3">
        <v>2125</v>
      </c>
      <c r="P81" s="3">
        <v>185</v>
      </c>
      <c r="Q81" s="3">
        <v>3391.36</v>
      </c>
      <c r="R81" s="3" t="s">
        <v>56</v>
      </c>
      <c r="S81" s="3" t="s">
        <v>57</v>
      </c>
      <c r="T81" s="3">
        <v>2961.54</v>
      </c>
      <c r="U81" s="3" t="s">
        <v>58</v>
      </c>
      <c r="V81" s="3" t="str">
        <f t="shared" si="6"/>
        <v>OK</v>
      </c>
      <c r="W81" s="3" t="str">
        <f t="shared" si="7"/>
        <v>OK</v>
      </c>
      <c r="X81" s="3" t="str">
        <f t="shared" si="8"/>
        <v>OK</v>
      </c>
      <c r="Y81" s="3" t="str">
        <f t="shared" si="9"/>
        <v>OK</v>
      </c>
      <c r="Z81" s="3">
        <f t="shared" si="10"/>
        <v>0</v>
      </c>
      <c r="AA81" s="3" t="str">
        <f t="shared" si="11"/>
        <v>Low</v>
      </c>
    </row>
    <row r="82" spans="1:27">
      <c r="A82" s="3">
        <v>46087</v>
      </c>
      <c r="B82" s="3" t="s">
        <v>265</v>
      </c>
      <c r="C82" s="3" t="s">
        <v>266</v>
      </c>
      <c r="D82" s="3" t="s">
        <v>91</v>
      </c>
      <c r="E82" s="3" t="s">
        <v>92</v>
      </c>
      <c r="F82" s="3" t="s">
        <v>54</v>
      </c>
      <c r="G82" s="3" t="s">
        <v>55</v>
      </c>
      <c r="H82" s="3">
        <v>80</v>
      </c>
      <c r="I82" s="3">
        <v>0</v>
      </c>
      <c r="J82" s="3">
        <v>59.62</v>
      </c>
      <c r="K82" s="3">
        <v>0</v>
      </c>
      <c r="L82" s="3">
        <v>4769.2299999999996</v>
      </c>
      <c r="M82" s="3">
        <v>1049.23</v>
      </c>
      <c r="N82" s="3">
        <v>185</v>
      </c>
      <c r="O82" s="3">
        <v>3535</v>
      </c>
      <c r="P82" s="3">
        <v>185</v>
      </c>
      <c r="Q82" s="3">
        <v>5322.43</v>
      </c>
      <c r="R82" s="3" t="s">
        <v>56</v>
      </c>
      <c r="S82" s="3" t="s">
        <v>57</v>
      </c>
      <c r="T82" s="3">
        <v>4769.2299999999996</v>
      </c>
      <c r="U82" s="3" t="s">
        <v>58</v>
      </c>
      <c r="V82" s="3" t="str">
        <f t="shared" si="6"/>
        <v>Flag</v>
      </c>
      <c r="W82" s="3" t="str">
        <f t="shared" si="7"/>
        <v>OK</v>
      </c>
      <c r="X82" s="3" t="str">
        <f t="shared" si="8"/>
        <v>OK</v>
      </c>
      <c r="Y82" s="3" t="str">
        <f t="shared" si="9"/>
        <v>OK</v>
      </c>
      <c r="Z82" s="3">
        <f t="shared" si="10"/>
        <v>1</v>
      </c>
      <c r="AA82" s="3" t="str">
        <f t="shared" si="11"/>
        <v>Medium</v>
      </c>
    </row>
    <row r="83" spans="1:27">
      <c r="A83" s="3">
        <v>46087</v>
      </c>
      <c r="B83" s="3" t="s">
        <v>267</v>
      </c>
      <c r="C83" s="3" t="s">
        <v>268</v>
      </c>
      <c r="D83" s="3" t="s">
        <v>80</v>
      </c>
      <c r="E83" s="3" t="s">
        <v>88</v>
      </c>
      <c r="F83" s="3" t="s">
        <v>117</v>
      </c>
      <c r="G83" s="3" t="s">
        <v>55</v>
      </c>
      <c r="H83" s="3">
        <v>80</v>
      </c>
      <c r="I83" s="3">
        <v>0</v>
      </c>
      <c r="J83" s="3">
        <v>25.48</v>
      </c>
      <c r="K83" s="3">
        <v>0</v>
      </c>
      <c r="L83" s="3">
        <v>2038.46</v>
      </c>
      <c r="M83" s="3">
        <v>448.46</v>
      </c>
      <c r="N83" s="3">
        <v>310</v>
      </c>
      <c r="O83" s="3">
        <v>1280</v>
      </c>
      <c r="P83" s="3">
        <v>310</v>
      </c>
      <c r="Q83" s="3">
        <v>2289.6799999999998</v>
      </c>
      <c r="R83" s="3" t="s">
        <v>103</v>
      </c>
      <c r="S83" s="3" t="s">
        <v>104</v>
      </c>
      <c r="T83" s="3">
        <v>0</v>
      </c>
      <c r="U83" s="3" t="s">
        <v>105</v>
      </c>
      <c r="V83" s="3" t="str">
        <f t="shared" si="6"/>
        <v>OK</v>
      </c>
      <c r="W83" s="3" t="str">
        <f t="shared" si="7"/>
        <v>OK</v>
      </c>
      <c r="X83" s="3" t="str">
        <f t="shared" si="8"/>
        <v>OK</v>
      </c>
      <c r="Y83" s="3" t="str">
        <f t="shared" si="9"/>
        <v>OK</v>
      </c>
      <c r="Z83" s="3">
        <f t="shared" si="10"/>
        <v>0</v>
      </c>
      <c r="AA83" s="3" t="str">
        <f t="shared" si="11"/>
        <v>Low</v>
      </c>
    </row>
    <row r="84" spans="1:27">
      <c r="A84" s="3">
        <v>46087</v>
      </c>
      <c r="B84" s="3" t="s">
        <v>269</v>
      </c>
      <c r="C84" s="3" t="s">
        <v>270</v>
      </c>
      <c r="D84" s="3" t="s">
        <v>80</v>
      </c>
      <c r="E84" s="3" t="s">
        <v>81</v>
      </c>
      <c r="F84" s="3" t="s">
        <v>77</v>
      </c>
      <c r="G84" s="3" t="s">
        <v>55</v>
      </c>
      <c r="H84" s="3">
        <v>80</v>
      </c>
      <c r="I84" s="3">
        <v>8</v>
      </c>
      <c r="J84" s="3">
        <v>51.44</v>
      </c>
      <c r="K84" s="3">
        <v>0</v>
      </c>
      <c r="L84" s="3">
        <v>4732.66</v>
      </c>
      <c r="M84" s="3">
        <v>1041.19</v>
      </c>
      <c r="N84" s="3">
        <v>185</v>
      </c>
      <c r="O84" s="3">
        <v>3506.47</v>
      </c>
      <c r="P84" s="3">
        <v>185</v>
      </c>
      <c r="Q84" s="3">
        <v>4564.1000000000004</v>
      </c>
      <c r="R84" s="3" t="s">
        <v>56</v>
      </c>
      <c r="S84" s="3" t="s">
        <v>57</v>
      </c>
      <c r="T84" s="3">
        <v>4732.66</v>
      </c>
      <c r="U84" s="3" t="s">
        <v>58</v>
      </c>
      <c r="V84" s="3" t="str">
        <f t="shared" si="6"/>
        <v>OK</v>
      </c>
      <c r="W84" s="3" t="str">
        <f t="shared" si="7"/>
        <v>OK</v>
      </c>
      <c r="X84" s="3" t="str">
        <f t="shared" si="8"/>
        <v>OK</v>
      </c>
      <c r="Y84" s="3" t="str">
        <f t="shared" si="9"/>
        <v>OK</v>
      </c>
      <c r="Z84" s="3">
        <f t="shared" si="10"/>
        <v>0</v>
      </c>
      <c r="AA84" s="3" t="str">
        <f t="shared" si="11"/>
        <v>Low</v>
      </c>
    </row>
    <row r="85" spans="1:27">
      <c r="A85" s="3">
        <v>46087</v>
      </c>
      <c r="B85" s="3" t="s">
        <v>271</v>
      </c>
      <c r="C85" s="3" t="s">
        <v>272</v>
      </c>
      <c r="D85" s="3" t="s">
        <v>108</v>
      </c>
      <c r="E85" s="3" t="s">
        <v>144</v>
      </c>
      <c r="F85" s="3" t="s">
        <v>62</v>
      </c>
      <c r="G85" s="3" t="s">
        <v>55</v>
      </c>
      <c r="H85" s="3">
        <v>80</v>
      </c>
      <c r="I85" s="3">
        <v>0</v>
      </c>
      <c r="J85" s="3">
        <v>44.71</v>
      </c>
      <c r="K85" s="3">
        <v>500</v>
      </c>
      <c r="L85" s="3">
        <v>4076.92</v>
      </c>
      <c r="M85" s="3">
        <v>896.92</v>
      </c>
      <c r="N85" s="3">
        <v>185</v>
      </c>
      <c r="O85" s="3">
        <v>2995</v>
      </c>
      <c r="P85" s="3">
        <v>185</v>
      </c>
      <c r="Q85" s="3">
        <v>3819.88</v>
      </c>
      <c r="R85" s="3" t="s">
        <v>56</v>
      </c>
      <c r="S85" s="3" t="s">
        <v>57</v>
      </c>
      <c r="T85" s="3">
        <v>4076.92</v>
      </c>
      <c r="U85" s="3" t="s">
        <v>58</v>
      </c>
      <c r="V85" s="3" t="str">
        <f t="shared" si="6"/>
        <v>OK</v>
      </c>
      <c r="W85" s="3" t="str">
        <f t="shared" si="7"/>
        <v>OK</v>
      </c>
      <c r="X85" s="3" t="str">
        <f t="shared" si="8"/>
        <v>OK</v>
      </c>
      <c r="Y85" s="3" t="str">
        <f t="shared" si="9"/>
        <v>OK</v>
      </c>
      <c r="Z85" s="3">
        <f t="shared" si="10"/>
        <v>0</v>
      </c>
      <c r="AA85" s="3" t="str">
        <f t="shared" si="11"/>
        <v>Low</v>
      </c>
    </row>
    <row r="86" spans="1:27">
      <c r="A86" s="3">
        <v>46087</v>
      </c>
      <c r="B86" s="3" t="s">
        <v>273</v>
      </c>
      <c r="C86" s="3" t="s">
        <v>274</v>
      </c>
      <c r="D86" s="3" t="s">
        <v>108</v>
      </c>
      <c r="E86" s="3" t="s">
        <v>109</v>
      </c>
      <c r="F86" s="3" t="s">
        <v>77</v>
      </c>
      <c r="G86" s="3" t="s">
        <v>55</v>
      </c>
      <c r="H86" s="3">
        <v>80</v>
      </c>
      <c r="I86" s="3">
        <v>6</v>
      </c>
      <c r="J86" s="3">
        <v>62.5</v>
      </c>
      <c r="K86" s="3">
        <v>500</v>
      </c>
      <c r="L86" s="3">
        <v>6062.5</v>
      </c>
      <c r="M86" s="3">
        <v>1333.75</v>
      </c>
      <c r="N86" s="3">
        <v>0</v>
      </c>
      <c r="O86" s="3">
        <v>4728.75</v>
      </c>
      <c r="P86" s="3">
        <v>0</v>
      </c>
      <c r="Q86" s="3">
        <v>5041.28</v>
      </c>
      <c r="R86" s="3" t="s">
        <v>56</v>
      </c>
      <c r="S86" s="3" t="s">
        <v>275</v>
      </c>
      <c r="T86" s="3">
        <v>6062.5</v>
      </c>
      <c r="U86" s="3" t="s">
        <v>58</v>
      </c>
      <c r="V86" s="3" t="str">
        <f t="shared" si="6"/>
        <v>Flag</v>
      </c>
      <c r="W86" s="3" t="str">
        <f t="shared" si="7"/>
        <v>OK</v>
      </c>
      <c r="X86" s="3" t="str">
        <f t="shared" si="8"/>
        <v>OK</v>
      </c>
      <c r="Y86" s="3" t="str">
        <f t="shared" si="9"/>
        <v>OK</v>
      </c>
      <c r="Z86" s="3">
        <f t="shared" si="10"/>
        <v>1</v>
      </c>
      <c r="AA86" s="3" t="str">
        <f t="shared" si="11"/>
        <v>Medium</v>
      </c>
    </row>
    <row r="87" spans="1:27">
      <c r="A87" s="3">
        <v>46087</v>
      </c>
      <c r="B87" s="3" t="s">
        <v>276</v>
      </c>
      <c r="C87" s="3" t="s">
        <v>277</v>
      </c>
      <c r="D87" s="3" t="s">
        <v>108</v>
      </c>
      <c r="E87" s="3" t="s">
        <v>144</v>
      </c>
      <c r="F87" s="3" t="s">
        <v>217</v>
      </c>
      <c r="G87" s="3" t="s">
        <v>55</v>
      </c>
      <c r="H87" s="3">
        <v>80</v>
      </c>
      <c r="I87" s="3">
        <v>0</v>
      </c>
      <c r="J87" s="3">
        <v>37.979999999999997</v>
      </c>
      <c r="K87" s="3">
        <v>250</v>
      </c>
      <c r="L87" s="3">
        <v>3288.46</v>
      </c>
      <c r="M87" s="3">
        <v>723.46</v>
      </c>
      <c r="N87" s="3">
        <v>310</v>
      </c>
      <c r="O87" s="3">
        <v>2255</v>
      </c>
      <c r="P87" s="3">
        <v>310</v>
      </c>
      <c r="Q87" s="3">
        <v>3395.16</v>
      </c>
      <c r="R87" s="3" t="s">
        <v>56</v>
      </c>
      <c r="S87" s="3" t="s">
        <v>57</v>
      </c>
      <c r="T87" s="3">
        <v>3288.46</v>
      </c>
      <c r="U87" s="3" t="s">
        <v>58</v>
      </c>
      <c r="V87" s="3" t="str">
        <f t="shared" si="6"/>
        <v>OK</v>
      </c>
      <c r="W87" s="3" t="str">
        <f t="shared" si="7"/>
        <v>OK</v>
      </c>
      <c r="X87" s="3" t="str">
        <f t="shared" si="8"/>
        <v>OK</v>
      </c>
      <c r="Y87" s="3" t="str">
        <f t="shared" si="9"/>
        <v>OK</v>
      </c>
      <c r="Z87" s="3">
        <f t="shared" si="10"/>
        <v>0</v>
      </c>
      <c r="AA87" s="3" t="str">
        <f t="shared" si="11"/>
        <v>Low</v>
      </c>
    </row>
    <row r="88" spans="1:27">
      <c r="A88" s="3">
        <v>46087</v>
      </c>
      <c r="B88" s="3" t="s">
        <v>278</v>
      </c>
      <c r="C88" s="3" t="s">
        <v>279</v>
      </c>
      <c r="D88" s="3" t="s">
        <v>100</v>
      </c>
      <c r="E88" s="3" t="s">
        <v>101</v>
      </c>
      <c r="F88" s="3" t="s">
        <v>110</v>
      </c>
      <c r="G88" s="3" t="s">
        <v>55</v>
      </c>
      <c r="H88" s="3">
        <v>80</v>
      </c>
      <c r="I88" s="3">
        <v>4</v>
      </c>
      <c r="J88" s="3">
        <v>36.54</v>
      </c>
      <c r="K88" s="3">
        <v>0</v>
      </c>
      <c r="L88" s="3">
        <v>3142.32</v>
      </c>
      <c r="M88" s="3">
        <v>691.31</v>
      </c>
      <c r="N88" s="3">
        <v>185</v>
      </c>
      <c r="O88" s="3">
        <v>2266.0100000000002</v>
      </c>
      <c r="P88" s="3">
        <v>185</v>
      </c>
      <c r="Q88" s="3">
        <v>3468.59</v>
      </c>
      <c r="R88" s="3" t="s">
        <v>103</v>
      </c>
      <c r="S88" s="3" t="s">
        <v>104</v>
      </c>
      <c r="T88" s="3">
        <v>0</v>
      </c>
      <c r="U88" s="3" t="s">
        <v>105</v>
      </c>
      <c r="V88" s="3" t="str">
        <f t="shared" si="6"/>
        <v>OK</v>
      </c>
      <c r="W88" s="3" t="str">
        <f t="shared" si="7"/>
        <v>OK</v>
      </c>
      <c r="X88" s="3" t="str">
        <f t="shared" si="8"/>
        <v>OK</v>
      </c>
      <c r="Y88" s="3" t="str">
        <f t="shared" si="9"/>
        <v>OK</v>
      </c>
      <c r="Z88" s="3">
        <f t="shared" si="10"/>
        <v>0</v>
      </c>
      <c r="AA88" s="3" t="str">
        <f t="shared" si="11"/>
        <v>Low</v>
      </c>
    </row>
    <row r="89" spans="1:27">
      <c r="A89" s="3">
        <v>46087</v>
      </c>
      <c r="B89" s="3" t="s">
        <v>280</v>
      </c>
      <c r="C89" s="3" t="s">
        <v>281</v>
      </c>
      <c r="D89" s="3" t="s">
        <v>108</v>
      </c>
      <c r="E89" s="3" t="s">
        <v>185</v>
      </c>
      <c r="F89" s="3" t="s">
        <v>67</v>
      </c>
      <c r="G89" s="3" t="s">
        <v>55</v>
      </c>
      <c r="H89" s="3">
        <v>80</v>
      </c>
      <c r="I89" s="3">
        <v>8</v>
      </c>
      <c r="J89" s="3">
        <v>54.81</v>
      </c>
      <c r="K89" s="3">
        <v>0</v>
      </c>
      <c r="L89" s="3">
        <v>5042.34</v>
      </c>
      <c r="M89" s="3">
        <v>1109.31</v>
      </c>
      <c r="N89" s="3">
        <v>0</v>
      </c>
      <c r="O89" s="3">
        <v>3933.03</v>
      </c>
      <c r="P89" s="3">
        <v>310</v>
      </c>
      <c r="Q89" s="3">
        <v>4864.53</v>
      </c>
      <c r="R89" s="3" t="s">
        <v>56</v>
      </c>
      <c r="S89" s="3" t="s">
        <v>114</v>
      </c>
      <c r="T89" s="3">
        <v>5042.34</v>
      </c>
      <c r="U89" s="3" t="s">
        <v>58</v>
      </c>
      <c r="V89" s="3" t="str">
        <f t="shared" si="6"/>
        <v>OK</v>
      </c>
      <c r="W89" s="3" t="str">
        <f t="shared" si="7"/>
        <v>OK</v>
      </c>
      <c r="X89" s="3" t="str">
        <f t="shared" si="8"/>
        <v>OK</v>
      </c>
      <c r="Y89" s="3" t="str">
        <f t="shared" si="9"/>
        <v>OK</v>
      </c>
      <c r="Z89" s="3">
        <f t="shared" si="10"/>
        <v>0</v>
      </c>
      <c r="AA89" s="3" t="str">
        <f t="shared" si="11"/>
        <v>Low</v>
      </c>
    </row>
    <row r="90" spans="1:27">
      <c r="A90" s="3">
        <v>46087</v>
      </c>
      <c r="B90" s="3" t="s">
        <v>282</v>
      </c>
      <c r="C90" s="3" t="s">
        <v>283</v>
      </c>
      <c r="D90" s="3" t="s">
        <v>91</v>
      </c>
      <c r="E90" s="3" t="s">
        <v>165</v>
      </c>
      <c r="F90" s="3" t="s">
        <v>67</v>
      </c>
      <c r="G90" s="3" t="s">
        <v>55</v>
      </c>
      <c r="H90" s="3">
        <v>80</v>
      </c>
      <c r="I90" s="3">
        <v>0</v>
      </c>
      <c r="J90" s="3">
        <v>60.58</v>
      </c>
      <c r="K90" s="3">
        <v>0</v>
      </c>
      <c r="L90" s="3">
        <v>4846.1499999999996</v>
      </c>
      <c r="M90" s="3">
        <v>1066.1500000000001</v>
      </c>
      <c r="N90" s="3">
        <v>310</v>
      </c>
      <c r="O90" s="3">
        <v>3470</v>
      </c>
      <c r="P90" s="3">
        <v>310</v>
      </c>
      <c r="Q90" s="3">
        <v>5223.76</v>
      </c>
      <c r="R90" s="3" t="s">
        <v>56</v>
      </c>
      <c r="S90" s="3" t="s">
        <v>57</v>
      </c>
      <c r="T90" s="3">
        <v>4846.1499999999996</v>
      </c>
      <c r="U90" s="3" t="s">
        <v>58</v>
      </c>
      <c r="V90" s="3" t="str">
        <f t="shared" si="6"/>
        <v>OK</v>
      </c>
      <c r="W90" s="3" t="str">
        <f t="shared" si="7"/>
        <v>OK</v>
      </c>
      <c r="X90" s="3" t="str">
        <f t="shared" si="8"/>
        <v>OK</v>
      </c>
      <c r="Y90" s="3" t="str">
        <f t="shared" si="9"/>
        <v>OK</v>
      </c>
      <c r="Z90" s="3">
        <f t="shared" si="10"/>
        <v>0</v>
      </c>
      <c r="AA90" s="3" t="str">
        <f t="shared" si="11"/>
        <v>Low</v>
      </c>
    </row>
    <row r="91" spans="1:27">
      <c r="A91" s="3">
        <v>46087</v>
      </c>
      <c r="B91" s="3" t="s">
        <v>284</v>
      </c>
      <c r="C91" s="3" t="s">
        <v>285</v>
      </c>
      <c r="D91" s="3" t="s">
        <v>80</v>
      </c>
      <c r="E91" s="3" t="s">
        <v>208</v>
      </c>
      <c r="F91" s="3" t="s">
        <v>122</v>
      </c>
      <c r="G91" s="3" t="s">
        <v>55</v>
      </c>
      <c r="H91" s="3">
        <v>80</v>
      </c>
      <c r="I91" s="3">
        <v>0</v>
      </c>
      <c r="J91" s="3">
        <v>46.63</v>
      </c>
      <c r="K91" s="3">
        <v>500</v>
      </c>
      <c r="L91" s="3">
        <v>4230.7700000000004</v>
      </c>
      <c r="M91" s="3">
        <v>930.77</v>
      </c>
      <c r="N91" s="3">
        <v>0</v>
      </c>
      <c r="O91" s="3">
        <v>3300</v>
      </c>
      <c r="P91" s="3">
        <v>0</v>
      </c>
      <c r="Q91" s="3">
        <v>4312.34</v>
      </c>
      <c r="R91" s="3" t="s">
        <v>56</v>
      </c>
      <c r="S91" s="3" t="s">
        <v>57</v>
      </c>
      <c r="T91" s="3">
        <v>4230.7700000000004</v>
      </c>
      <c r="U91" s="3" t="s">
        <v>58</v>
      </c>
      <c r="V91" s="3" t="str">
        <f t="shared" si="6"/>
        <v>OK</v>
      </c>
      <c r="W91" s="3" t="str">
        <f t="shared" si="7"/>
        <v>OK</v>
      </c>
      <c r="X91" s="3" t="str">
        <f t="shared" si="8"/>
        <v>OK</v>
      </c>
      <c r="Y91" s="3" t="str">
        <f t="shared" si="9"/>
        <v>OK</v>
      </c>
      <c r="Z91" s="3">
        <f t="shared" si="10"/>
        <v>0</v>
      </c>
      <c r="AA91" s="3" t="str">
        <f t="shared" si="11"/>
        <v>Low</v>
      </c>
    </row>
    <row r="92" spans="1:27">
      <c r="A92" s="3">
        <v>46087</v>
      </c>
      <c r="B92" s="3" t="s">
        <v>286</v>
      </c>
      <c r="C92" s="3" t="s">
        <v>287</v>
      </c>
      <c r="D92" s="3" t="s">
        <v>100</v>
      </c>
      <c r="E92" s="3" t="s">
        <v>174</v>
      </c>
      <c r="F92" s="3" t="s">
        <v>84</v>
      </c>
      <c r="G92" s="3" t="s">
        <v>55</v>
      </c>
      <c r="H92" s="3">
        <v>80</v>
      </c>
      <c r="I92" s="3">
        <v>8</v>
      </c>
      <c r="J92" s="3">
        <v>44.23</v>
      </c>
      <c r="K92" s="3">
        <v>0</v>
      </c>
      <c r="L92" s="3">
        <v>4069.22</v>
      </c>
      <c r="M92" s="3">
        <v>895.23</v>
      </c>
      <c r="N92" s="3">
        <v>185</v>
      </c>
      <c r="O92" s="3">
        <v>2988.99</v>
      </c>
      <c r="P92" s="3">
        <v>185</v>
      </c>
      <c r="Q92" s="3">
        <v>3988.69</v>
      </c>
      <c r="R92" s="3" t="s">
        <v>103</v>
      </c>
      <c r="S92" s="3" t="s">
        <v>104</v>
      </c>
      <c r="T92" s="3">
        <v>0</v>
      </c>
      <c r="U92" s="3" t="s">
        <v>105</v>
      </c>
      <c r="V92" s="3" t="str">
        <f t="shared" si="6"/>
        <v>OK</v>
      </c>
      <c r="W92" s="3" t="str">
        <f t="shared" si="7"/>
        <v>OK</v>
      </c>
      <c r="X92" s="3" t="str">
        <f t="shared" si="8"/>
        <v>OK</v>
      </c>
      <c r="Y92" s="3" t="str">
        <f t="shared" si="9"/>
        <v>OK</v>
      </c>
      <c r="Z92" s="3">
        <f t="shared" si="10"/>
        <v>0</v>
      </c>
      <c r="AA92" s="3" t="str">
        <f t="shared" si="11"/>
        <v>Low</v>
      </c>
    </row>
    <row r="93" spans="1:27">
      <c r="A93" s="3">
        <v>46087</v>
      </c>
      <c r="B93" s="3" t="s">
        <v>288</v>
      </c>
      <c r="C93" s="3" t="s">
        <v>289</v>
      </c>
      <c r="D93" s="3" t="s">
        <v>129</v>
      </c>
      <c r="E93" s="3" t="s">
        <v>162</v>
      </c>
      <c r="F93" s="3" t="s">
        <v>67</v>
      </c>
      <c r="G93" s="3" t="s">
        <v>55</v>
      </c>
      <c r="H93" s="3">
        <v>80</v>
      </c>
      <c r="I93" s="3">
        <v>0</v>
      </c>
      <c r="J93" s="3">
        <v>41.83</v>
      </c>
      <c r="K93" s="3">
        <v>0</v>
      </c>
      <c r="L93" s="3">
        <v>3346.15</v>
      </c>
      <c r="M93" s="3">
        <v>736.15</v>
      </c>
      <c r="N93" s="3">
        <v>0</v>
      </c>
      <c r="O93" s="3">
        <v>2610</v>
      </c>
      <c r="P93" s="3">
        <v>0</v>
      </c>
      <c r="Q93" s="3">
        <v>3784.57</v>
      </c>
      <c r="R93" s="3" t="s">
        <v>56</v>
      </c>
      <c r="S93" s="3" t="s">
        <v>57</v>
      </c>
      <c r="T93" s="3">
        <v>3346.15</v>
      </c>
      <c r="U93" s="3" t="s">
        <v>58</v>
      </c>
      <c r="V93" s="3" t="str">
        <f t="shared" si="6"/>
        <v>OK</v>
      </c>
      <c r="W93" s="3" t="str">
        <f t="shared" si="7"/>
        <v>OK</v>
      </c>
      <c r="X93" s="3" t="str">
        <f t="shared" si="8"/>
        <v>OK</v>
      </c>
      <c r="Y93" s="3" t="str">
        <f t="shared" si="9"/>
        <v>OK</v>
      </c>
      <c r="Z93" s="3">
        <f t="shared" si="10"/>
        <v>0</v>
      </c>
      <c r="AA93" s="3" t="str">
        <f t="shared" si="11"/>
        <v>Low</v>
      </c>
    </row>
    <row r="94" spans="1:27">
      <c r="A94" s="3">
        <v>46087</v>
      </c>
      <c r="B94" s="3" t="s">
        <v>290</v>
      </c>
      <c r="C94" s="3" t="s">
        <v>291</v>
      </c>
      <c r="D94" s="3" t="s">
        <v>100</v>
      </c>
      <c r="E94" s="3" t="s">
        <v>174</v>
      </c>
      <c r="F94" s="3" t="s">
        <v>67</v>
      </c>
      <c r="G94" s="3" t="s">
        <v>55</v>
      </c>
      <c r="H94" s="3">
        <v>80</v>
      </c>
      <c r="I94" s="3">
        <v>0</v>
      </c>
      <c r="J94" s="3">
        <v>38.94</v>
      </c>
      <c r="K94" s="3">
        <v>0</v>
      </c>
      <c r="L94" s="3">
        <v>3115.38</v>
      </c>
      <c r="M94" s="3">
        <v>685.38</v>
      </c>
      <c r="N94" s="3">
        <v>310</v>
      </c>
      <c r="O94" s="3">
        <v>2120</v>
      </c>
      <c r="P94" s="3">
        <v>310</v>
      </c>
      <c r="Q94" s="3">
        <v>3681.36</v>
      </c>
      <c r="R94" s="3" t="s">
        <v>56</v>
      </c>
      <c r="S94" s="3" t="s">
        <v>57</v>
      </c>
      <c r="T94" s="3">
        <v>3115.38</v>
      </c>
      <c r="U94" s="3" t="s">
        <v>58</v>
      </c>
      <c r="V94" s="3" t="str">
        <f t="shared" si="6"/>
        <v>Flag</v>
      </c>
      <c r="W94" s="3" t="str">
        <f t="shared" si="7"/>
        <v>OK</v>
      </c>
      <c r="X94" s="3" t="str">
        <f t="shared" si="8"/>
        <v>OK</v>
      </c>
      <c r="Y94" s="3" t="str">
        <f t="shared" si="9"/>
        <v>OK</v>
      </c>
      <c r="Z94" s="3">
        <f t="shared" si="10"/>
        <v>1</v>
      </c>
      <c r="AA94" s="3" t="str">
        <f t="shared" si="11"/>
        <v>Medium</v>
      </c>
    </row>
    <row r="95" spans="1:27">
      <c r="A95" s="3">
        <v>46087</v>
      </c>
      <c r="B95" s="3" t="s">
        <v>292</v>
      </c>
      <c r="C95" s="3" t="s">
        <v>293</v>
      </c>
      <c r="D95" s="3" t="s">
        <v>129</v>
      </c>
      <c r="E95" s="3" t="s">
        <v>130</v>
      </c>
      <c r="F95" s="3" t="s">
        <v>110</v>
      </c>
      <c r="G95" s="3" t="s">
        <v>55</v>
      </c>
      <c r="H95" s="3">
        <v>80</v>
      </c>
      <c r="I95" s="3">
        <v>2</v>
      </c>
      <c r="J95" s="3">
        <v>58.65</v>
      </c>
      <c r="K95" s="3">
        <v>0</v>
      </c>
      <c r="L95" s="3">
        <v>4868.26</v>
      </c>
      <c r="M95" s="3">
        <v>1071.02</v>
      </c>
      <c r="N95" s="3">
        <v>310</v>
      </c>
      <c r="O95" s="3">
        <v>3487.24</v>
      </c>
      <c r="P95" s="3">
        <v>310</v>
      </c>
      <c r="Q95" s="3">
        <v>4920.12</v>
      </c>
      <c r="R95" s="3" t="s">
        <v>103</v>
      </c>
      <c r="S95" s="3" t="s">
        <v>104</v>
      </c>
      <c r="T95" s="3">
        <v>0</v>
      </c>
      <c r="U95" s="3" t="s">
        <v>105</v>
      </c>
      <c r="V95" s="3" t="str">
        <f t="shared" si="6"/>
        <v>OK</v>
      </c>
      <c r="W95" s="3" t="str">
        <f t="shared" si="7"/>
        <v>OK</v>
      </c>
      <c r="X95" s="3" t="str">
        <f t="shared" si="8"/>
        <v>OK</v>
      </c>
      <c r="Y95" s="3" t="str">
        <f t="shared" si="9"/>
        <v>OK</v>
      </c>
      <c r="Z95" s="3">
        <f t="shared" si="10"/>
        <v>0</v>
      </c>
      <c r="AA95" s="3" t="str">
        <f t="shared" si="11"/>
        <v>Low</v>
      </c>
    </row>
    <row r="96" spans="1:27">
      <c r="A96" s="3">
        <v>46087</v>
      </c>
      <c r="B96" s="3" t="s">
        <v>294</v>
      </c>
      <c r="C96" s="3" t="s">
        <v>295</v>
      </c>
      <c r="D96" s="3" t="s">
        <v>108</v>
      </c>
      <c r="E96" s="3" t="s">
        <v>109</v>
      </c>
      <c r="F96" s="3" t="s">
        <v>110</v>
      </c>
      <c r="G96" s="3" t="s">
        <v>55</v>
      </c>
      <c r="H96" s="3">
        <v>80</v>
      </c>
      <c r="I96" s="3">
        <v>0</v>
      </c>
      <c r="J96" s="3">
        <v>42.31</v>
      </c>
      <c r="K96" s="3">
        <v>250</v>
      </c>
      <c r="L96" s="3">
        <v>3634.62</v>
      </c>
      <c r="M96" s="3">
        <v>799.62</v>
      </c>
      <c r="N96" s="3">
        <v>310</v>
      </c>
      <c r="O96" s="3">
        <v>2525</v>
      </c>
      <c r="P96" s="3">
        <v>310</v>
      </c>
      <c r="Q96" s="3">
        <v>3717.1</v>
      </c>
      <c r="R96" s="3" t="s">
        <v>103</v>
      </c>
      <c r="S96" s="3" t="s">
        <v>104</v>
      </c>
      <c r="T96" s="3">
        <v>0</v>
      </c>
      <c r="U96" s="3" t="s">
        <v>105</v>
      </c>
      <c r="V96" s="3" t="str">
        <f t="shared" si="6"/>
        <v>OK</v>
      </c>
      <c r="W96" s="3" t="str">
        <f t="shared" si="7"/>
        <v>OK</v>
      </c>
      <c r="X96" s="3" t="str">
        <f t="shared" si="8"/>
        <v>OK</v>
      </c>
      <c r="Y96" s="3" t="str">
        <f t="shared" si="9"/>
        <v>OK</v>
      </c>
      <c r="Z96" s="3">
        <f t="shared" si="10"/>
        <v>0</v>
      </c>
      <c r="AA96" s="3" t="str">
        <f t="shared" si="11"/>
        <v>Low</v>
      </c>
    </row>
    <row r="97" spans="1:27">
      <c r="A97" s="3">
        <v>46087</v>
      </c>
      <c r="B97" s="3" t="s">
        <v>296</v>
      </c>
      <c r="C97" s="3" t="s">
        <v>297</v>
      </c>
      <c r="D97" s="3" t="s">
        <v>129</v>
      </c>
      <c r="E97" s="3" t="s">
        <v>162</v>
      </c>
      <c r="F97" s="3" t="s">
        <v>54</v>
      </c>
      <c r="G97" s="3" t="s">
        <v>55</v>
      </c>
      <c r="H97" s="3">
        <v>80</v>
      </c>
      <c r="I97" s="3">
        <v>2</v>
      </c>
      <c r="J97" s="3">
        <v>31.73</v>
      </c>
      <c r="K97" s="3">
        <v>500</v>
      </c>
      <c r="L97" s="3">
        <v>3133.65</v>
      </c>
      <c r="M97" s="3">
        <v>689.4</v>
      </c>
      <c r="N97" s="3">
        <v>185</v>
      </c>
      <c r="O97" s="3">
        <v>2259.25</v>
      </c>
      <c r="P97" s="3">
        <v>185</v>
      </c>
      <c r="Q97" s="3">
        <v>2726.47</v>
      </c>
      <c r="R97" s="3" t="s">
        <v>56</v>
      </c>
      <c r="S97" s="3" t="s">
        <v>57</v>
      </c>
      <c r="T97" s="3">
        <v>3133.65</v>
      </c>
      <c r="U97" s="3" t="s">
        <v>58</v>
      </c>
      <c r="V97" s="3" t="str">
        <f t="shared" si="6"/>
        <v>OK</v>
      </c>
      <c r="W97" s="3" t="str">
        <f t="shared" si="7"/>
        <v>OK</v>
      </c>
      <c r="X97" s="3" t="str">
        <f t="shared" si="8"/>
        <v>OK</v>
      </c>
      <c r="Y97" s="3" t="str">
        <f t="shared" si="9"/>
        <v>OK</v>
      </c>
      <c r="Z97" s="3">
        <f t="shared" si="10"/>
        <v>0</v>
      </c>
      <c r="AA97" s="3" t="str">
        <f t="shared" si="11"/>
        <v>Low</v>
      </c>
    </row>
    <row r="98" spans="1:27">
      <c r="A98" s="3">
        <v>46087</v>
      </c>
      <c r="B98" s="3" t="s">
        <v>298</v>
      </c>
      <c r="C98" s="3" t="s">
        <v>299</v>
      </c>
      <c r="D98" s="3" t="s">
        <v>65</v>
      </c>
      <c r="E98" s="3" t="s">
        <v>72</v>
      </c>
      <c r="F98" s="3" t="s">
        <v>217</v>
      </c>
      <c r="G98" s="3" t="s">
        <v>55</v>
      </c>
      <c r="H98" s="3">
        <v>80</v>
      </c>
      <c r="I98" s="3">
        <v>2</v>
      </c>
      <c r="J98" s="3">
        <v>43.27</v>
      </c>
      <c r="K98" s="3">
        <v>0</v>
      </c>
      <c r="L98" s="3">
        <v>3591.35</v>
      </c>
      <c r="M98" s="3">
        <v>790.1</v>
      </c>
      <c r="N98" s="3">
        <v>185</v>
      </c>
      <c r="O98" s="3">
        <v>2616.25</v>
      </c>
      <c r="P98" s="3">
        <v>185</v>
      </c>
      <c r="Q98" s="3">
        <v>3877.66</v>
      </c>
      <c r="R98" s="3" t="s">
        <v>56</v>
      </c>
      <c r="S98" s="3" t="s">
        <v>57</v>
      </c>
      <c r="T98" s="3">
        <v>3591.35</v>
      </c>
      <c r="U98" s="3" t="s">
        <v>58</v>
      </c>
      <c r="V98" s="3" t="str">
        <f t="shared" si="6"/>
        <v>OK</v>
      </c>
      <c r="W98" s="3" t="str">
        <f t="shared" si="7"/>
        <v>OK</v>
      </c>
      <c r="X98" s="3" t="str">
        <f t="shared" si="8"/>
        <v>OK</v>
      </c>
      <c r="Y98" s="3" t="str">
        <f t="shared" si="9"/>
        <v>OK</v>
      </c>
      <c r="Z98" s="3">
        <f t="shared" si="10"/>
        <v>0</v>
      </c>
      <c r="AA98" s="3" t="str">
        <f t="shared" si="11"/>
        <v>Low</v>
      </c>
    </row>
    <row r="99" spans="1:27">
      <c r="A99" s="3">
        <v>46087</v>
      </c>
      <c r="B99" s="3" t="s">
        <v>300</v>
      </c>
      <c r="C99" s="3" t="s">
        <v>301</v>
      </c>
      <c r="D99" s="3" t="s">
        <v>133</v>
      </c>
      <c r="E99" s="3" t="s">
        <v>134</v>
      </c>
      <c r="F99" s="3" t="s">
        <v>102</v>
      </c>
      <c r="G99" s="3" t="s">
        <v>55</v>
      </c>
      <c r="H99" s="3">
        <v>80</v>
      </c>
      <c r="I99" s="3">
        <v>0</v>
      </c>
      <c r="J99" s="3">
        <v>56.73</v>
      </c>
      <c r="K99" s="3">
        <v>0</v>
      </c>
      <c r="L99" s="3">
        <v>4538.46</v>
      </c>
      <c r="M99" s="3">
        <v>998.46</v>
      </c>
      <c r="N99" s="3">
        <v>310</v>
      </c>
      <c r="O99" s="3">
        <v>3230</v>
      </c>
      <c r="P99" s="3">
        <v>310</v>
      </c>
      <c r="Q99" s="3">
        <v>4787.2700000000004</v>
      </c>
      <c r="R99" s="3" t="s">
        <v>103</v>
      </c>
      <c r="S99" s="3" t="s">
        <v>104</v>
      </c>
      <c r="T99" s="3">
        <v>0</v>
      </c>
      <c r="U99" s="3" t="s">
        <v>105</v>
      </c>
      <c r="V99" s="3" t="str">
        <f t="shared" si="6"/>
        <v>OK</v>
      </c>
      <c r="W99" s="3" t="str">
        <f t="shared" si="7"/>
        <v>OK</v>
      </c>
      <c r="X99" s="3" t="str">
        <f t="shared" si="8"/>
        <v>OK</v>
      </c>
      <c r="Y99" s="3" t="str">
        <f t="shared" si="9"/>
        <v>OK</v>
      </c>
      <c r="Z99" s="3">
        <f t="shared" si="10"/>
        <v>0</v>
      </c>
      <c r="AA99" s="3" t="str">
        <f t="shared" si="11"/>
        <v>Low</v>
      </c>
    </row>
    <row r="100" spans="1:27">
      <c r="A100" s="3">
        <v>46087</v>
      </c>
      <c r="B100" s="3" t="s">
        <v>302</v>
      </c>
      <c r="C100" s="3" t="s">
        <v>303</v>
      </c>
      <c r="D100" s="3" t="s">
        <v>133</v>
      </c>
      <c r="E100" s="3" t="s">
        <v>147</v>
      </c>
      <c r="F100" s="3" t="s">
        <v>102</v>
      </c>
      <c r="G100" s="3" t="s">
        <v>55</v>
      </c>
      <c r="H100" s="3">
        <v>80</v>
      </c>
      <c r="I100" s="3">
        <v>22</v>
      </c>
      <c r="J100" s="3">
        <v>62.5</v>
      </c>
      <c r="K100" s="3">
        <v>0</v>
      </c>
      <c r="L100" s="3">
        <v>7062.5</v>
      </c>
      <c r="M100" s="3">
        <v>1553.75</v>
      </c>
      <c r="N100" s="3">
        <v>0</v>
      </c>
      <c r="O100" s="3">
        <v>5508.75</v>
      </c>
      <c r="P100" s="3">
        <v>0</v>
      </c>
      <c r="Q100" s="3">
        <v>5572.49</v>
      </c>
      <c r="R100" s="3" t="s">
        <v>56</v>
      </c>
      <c r="S100" s="3" t="s">
        <v>189</v>
      </c>
      <c r="T100" s="3">
        <v>7062.5</v>
      </c>
      <c r="U100" s="3" t="s">
        <v>58</v>
      </c>
      <c r="V100" s="3" t="str">
        <f t="shared" si="6"/>
        <v>Flag</v>
      </c>
      <c r="W100" s="3" t="str">
        <f t="shared" si="7"/>
        <v>Flag</v>
      </c>
      <c r="X100" s="3" t="str">
        <f t="shared" si="8"/>
        <v>OK</v>
      </c>
      <c r="Y100" s="3" t="str">
        <f t="shared" si="9"/>
        <v>OK</v>
      </c>
      <c r="Z100" s="3">
        <f t="shared" si="10"/>
        <v>2</v>
      </c>
      <c r="AA100" s="3" t="str">
        <f t="shared" si="11"/>
        <v>High</v>
      </c>
    </row>
    <row r="101" spans="1:27">
      <c r="A101" s="3">
        <v>46087</v>
      </c>
      <c r="B101" s="3" t="s">
        <v>304</v>
      </c>
      <c r="C101" s="3" t="s">
        <v>305</v>
      </c>
      <c r="D101" s="3" t="s">
        <v>91</v>
      </c>
      <c r="E101" s="3" t="s">
        <v>165</v>
      </c>
      <c r="F101" s="3" t="s">
        <v>84</v>
      </c>
      <c r="G101" s="3" t="s">
        <v>55</v>
      </c>
      <c r="H101" s="3">
        <v>80</v>
      </c>
      <c r="I101" s="3">
        <v>0</v>
      </c>
      <c r="J101" s="3">
        <v>39.42</v>
      </c>
      <c r="K101" s="3">
        <v>0</v>
      </c>
      <c r="L101" s="3">
        <v>3153.85</v>
      </c>
      <c r="M101" s="3">
        <v>693.85</v>
      </c>
      <c r="N101" s="3">
        <v>185</v>
      </c>
      <c r="O101" s="3">
        <v>2275</v>
      </c>
      <c r="P101" s="3">
        <v>185</v>
      </c>
      <c r="Q101" s="3">
        <v>3683.68</v>
      </c>
      <c r="R101" s="3" t="s">
        <v>103</v>
      </c>
      <c r="S101" s="3" t="s">
        <v>104</v>
      </c>
      <c r="T101" s="3">
        <v>0</v>
      </c>
      <c r="U101" s="3" t="s">
        <v>105</v>
      </c>
      <c r="V101" s="3" t="str">
        <f t="shared" si="6"/>
        <v>Flag</v>
      </c>
      <c r="W101" s="3" t="str">
        <f t="shared" si="7"/>
        <v>OK</v>
      </c>
      <c r="X101" s="3" t="str">
        <f t="shared" si="8"/>
        <v>OK</v>
      </c>
      <c r="Y101" s="3" t="str">
        <f t="shared" si="9"/>
        <v>OK</v>
      </c>
      <c r="Z101" s="3">
        <f t="shared" si="10"/>
        <v>1</v>
      </c>
      <c r="AA101" s="3" t="str">
        <f t="shared" si="11"/>
        <v>Medium</v>
      </c>
    </row>
    <row r="102" spans="1:27">
      <c r="A102" s="3">
        <v>46087</v>
      </c>
      <c r="B102" s="3" t="s">
        <v>306</v>
      </c>
      <c r="C102" s="3" t="s">
        <v>307</v>
      </c>
      <c r="D102" s="3" t="s">
        <v>65</v>
      </c>
      <c r="E102" s="3" t="s">
        <v>192</v>
      </c>
      <c r="F102" s="3" t="s">
        <v>77</v>
      </c>
      <c r="G102" s="3" t="s">
        <v>55</v>
      </c>
      <c r="H102" s="3">
        <v>80</v>
      </c>
      <c r="I102" s="3">
        <v>0</v>
      </c>
      <c r="J102" s="3">
        <v>42.79</v>
      </c>
      <c r="K102" s="3">
        <v>0</v>
      </c>
      <c r="L102" s="3">
        <v>3423.08</v>
      </c>
      <c r="M102" s="3">
        <v>753.08</v>
      </c>
      <c r="N102" s="3">
        <v>185</v>
      </c>
      <c r="O102" s="3">
        <v>2485</v>
      </c>
      <c r="P102" s="3">
        <v>185</v>
      </c>
      <c r="Q102" s="3">
        <v>3837.08</v>
      </c>
      <c r="R102" s="3" t="s">
        <v>56</v>
      </c>
      <c r="S102" s="3" t="s">
        <v>57</v>
      </c>
      <c r="T102" s="3">
        <v>3423.08</v>
      </c>
      <c r="U102" s="3" t="s">
        <v>58</v>
      </c>
      <c r="V102" s="3" t="str">
        <f t="shared" si="6"/>
        <v>OK</v>
      </c>
      <c r="W102" s="3" t="str">
        <f t="shared" si="7"/>
        <v>OK</v>
      </c>
      <c r="X102" s="3" t="str">
        <f t="shared" si="8"/>
        <v>OK</v>
      </c>
      <c r="Y102" s="3" t="str">
        <f t="shared" si="9"/>
        <v>OK</v>
      </c>
      <c r="Z102" s="3">
        <f t="shared" si="10"/>
        <v>0</v>
      </c>
      <c r="AA102" s="3" t="str">
        <f t="shared" si="11"/>
        <v>Low</v>
      </c>
    </row>
    <row r="103" spans="1:27">
      <c r="A103" s="3">
        <v>46087</v>
      </c>
      <c r="B103" s="3" t="s">
        <v>308</v>
      </c>
      <c r="C103" s="3" t="s">
        <v>309</v>
      </c>
      <c r="D103" s="3" t="s">
        <v>100</v>
      </c>
      <c r="E103" s="3" t="s">
        <v>101</v>
      </c>
      <c r="F103" s="3" t="s">
        <v>77</v>
      </c>
      <c r="G103" s="3" t="s">
        <v>55</v>
      </c>
      <c r="H103" s="3">
        <v>80</v>
      </c>
      <c r="I103" s="3">
        <v>0</v>
      </c>
      <c r="J103" s="3">
        <v>38.94</v>
      </c>
      <c r="K103" s="3">
        <v>0</v>
      </c>
      <c r="L103" s="3">
        <v>3115.38</v>
      </c>
      <c r="M103" s="3">
        <v>685.38</v>
      </c>
      <c r="N103" s="3">
        <v>310</v>
      </c>
      <c r="O103" s="3">
        <v>2120</v>
      </c>
      <c r="P103" s="3">
        <v>310</v>
      </c>
      <c r="Q103" s="3">
        <v>3556.82</v>
      </c>
      <c r="R103" s="3" t="s">
        <v>56</v>
      </c>
      <c r="S103" s="3" t="s">
        <v>57</v>
      </c>
      <c r="T103" s="3">
        <v>3115.38</v>
      </c>
      <c r="U103" s="3" t="s">
        <v>58</v>
      </c>
      <c r="V103" s="3" t="str">
        <f t="shared" si="6"/>
        <v>OK</v>
      </c>
      <c r="W103" s="3" t="str">
        <f t="shared" si="7"/>
        <v>OK</v>
      </c>
      <c r="X103" s="3" t="str">
        <f t="shared" si="8"/>
        <v>OK</v>
      </c>
      <c r="Y103" s="3" t="str">
        <f t="shared" si="9"/>
        <v>OK</v>
      </c>
      <c r="Z103" s="3">
        <f t="shared" si="10"/>
        <v>0</v>
      </c>
      <c r="AA103" s="3" t="str">
        <f t="shared" si="11"/>
        <v>Low</v>
      </c>
    </row>
    <row r="104" spans="1:27">
      <c r="A104" s="3">
        <v>46087</v>
      </c>
      <c r="B104" s="3" t="s">
        <v>310</v>
      </c>
      <c r="C104" s="3" t="s">
        <v>311</v>
      </c>
      <c r="D104" s="3" t="s">
        <v>91</v>
      </c>
      <c r="E104" s="3" t="s">
        <v>165</v>
      </c>
      <c r="F104" s="3" t="s">
        <v>84</v>
      </c>
      <c r="G104" s="3" t="s">
        <v>55</v>
      </c>
      <c r="H104" s="3">
        <v>80</v>
      </c>
      <c r="I104" s="3">
        <v>0</v>
      </c>
      <c r="J104" s="3">
        <v>38.46</v>
      </c>
      <c r="K104" s="3">
        <v>0</v>
      </c>
      <c r="L104" s="3">
        <v>3076.92</v>
      </c>
      <c r="M104" s="3">
        <v>676.92</v>
      </c>
      <c r="N104" s="3">
        <v>0</v>
      </c>
      <c r="O104" s="3">
        <v>2400</v>
      </c>
      <c r="P104" s="3">
        <v>0</v>
      </c>
      <c r="Q104" s="3">
        <v>3385.8</v>
      </c>
      <c r="R104" s="3" t="s">
        <v>103</v>
      </c>
      <c r="S104" s="3" t="s">
        <v>104</v>
      </c>
      <c r="T104" s="3">
        <v>0</v>
      </c>
      <c r="U104" s="3" t="s">
        <v>105</v>
      </c>
      <c r="V104" s="3" t="str">
        <f t="shared" si="6"/>
        <v>OK</v>
      </c>
      <c r="W104" s="3" t="str">
        <f t="shared" si="7"/>
        <v>OK</v>
      </c>
      <c r="X104" s="3" t="str">
        <f t="shared" si="8"/>
        <v>OK</v>
      </c>
      <c r="Y104" s="3" t="str">
        <f t="shared" si="9"/>
        <v>OK</v>
      </c>
      <c r="Z104" s="3">
        <f t="shared" si="10"/>
        <v>0</v>
      </c>
      <c r="AA104" s="3" t="str">
        <f t="shared" si="11"/>
        <v>Low</v>
      </c>
    </row>
    <row r="105" spans="1:27">
      <c r="A105" s="3">
        <v>46087</v>
      </c>
      <c r="B105" s="3" t="s">
        <v>312</v>
      </c>
      <c r="C105" s="3" t="s">
        <v>313</v>
      </c>
      <c r="D105" s="3" t="s">
        <v>129</v>
      </c>
      <c r="E105" s="3" t="s">
        <v>162</v>
      </c>
      <c r="F105" s="3" t="s">
        <v>110</v>
      </c>
      <c r="G105" s="3" t="s">
        <v>55</v>
      </c>
      <c r="H105" s="3">
        <v>80</v>
      </c>
      <c r="I105" s="3">
        <v>4</v>
      </c>
      <c r="J105" s="3">
        <v>43.75</v>
      </c>
      <c r="K105" s="3">
        <v>250</v>
      </c>
      <c r="L105" s="3">
        <v>4012.5</v>
      </c>
      <c r="M105" s="3">
        <v>882.75</v>
      </c>
      <c r="N105" s="3">
        <v>0</v>
      </c>
      <c r="O105" s="3">
        <v>3129.75</v>
      </c>
      <c r="P105" s="3">
        <v>0</v>
      </c>
      <c r="Q105" s="3">
        <v>4278.58</v>
      </c>
      <c r="R105" s="3" t="s">
        <v>103</v>
      </c>
      <c r="S105" s="3" t="s">
        <v>104</v>
      </c>
      <c r="T105" s="3">
        <v>0</v>
      </c>
      <c r="U105" s="3" t="s">
        <v>105</v>
      </c>
      <c r="V105" s="3" t="str">
        <f t="shared" si="6"/>
        <v>OK</v>
      </c>
      <c r="W105" s="3" t="str">
        <f t="shared" si="7"/>
        <v>OK</v>
      </c>
      <c r="X105" s="3" t="str">
        <f t="shared" si="8"/>
        <v>OK</v>
      </c>
      <c r="Y105" s="3" t="str">
        <f t="shared" si="9"/>
        <v>OK</v>
      </c>
      <c r="Z105" s="3">
        <f t="shared" si="10"/>
        <v>0</v>
      </c>
      <c r="AA105" s="3" t="str">
        <f t="shared" si="11"/>
        <v>Low</v>
      </c>
    </row>
    <row r="106" spans="1:27">
      <c r="A106" s="3">
        <v>46087</v>
      </c>
      <c r="B106" s="3" t="s">
        <v>314</v>
      </c>
      <c r="C106" s="3" t="s">
        <v>315</v>
      </c>
      <c r="D106" s="3" t="s">
        <v>52</v>
      </c>
      <c r="E106" s="3" t="s">
        <v>113</v>
      </c>
      <c r="F106" s="3" t="s">
        <v>54</v>
      </c>
      <c r="G106" s="3" t="s">
        <v>55</v>
      </c>
      <c r="H106" s="3">
        <v>80</v>
      </c>
      <c r="I106" s="3">
        <v>4</v>
      </c>
      <c r="J106" s="3">
        <v>41.35</v>
      </c>
      <c r="K106" s="3">
        <v>0</v>
      </c>
      <c r="L106" s="3">
        <v>3555.79</v>
      </c>
      <c r="M106" s="3">
        <v>782.27</v>
      </c>
      <c r="N106" s="3">
        <v>0</v>
      </c>
      <c r="O106" s="3">
        <v>2598.52</v>
      </c>
      <c r="P106" s="3">
        <v>0</v>
      </c>
      <c r="Q106" s="3">
        <v>3846.76</v>
      </c>
      <c r="R106" s="3" t="s">
        <v>56</v>
      </c>
      <c r="S106" s="3" t="s">
        <v>316</v>
      </c>
      <c r="T106" s="3">
        <v>3555.79</v>
      </c>
      <c r="U106" s="3" t="s">
        <v>58</v>
      </c>
      <c r="V106" s="3" t="str">
        <f t="shared" si="6"/>
        <v>OK</v>
      </c>
      <c r="W106" s="3" t="str">
        <f t="shared" si="7"/>
        <v>OK</v>
      </c>
      <c r="X106" s="3" t="str">
        <f t="shared" si="8"/>
        <v>OK</v>
      </c>
      <c r="Y106" s="3" t="str">
        <f t="shared" si="9"/>
        <v>Mismatch</v>
      </c>
      <c r="Z106" s="3">
        <f t="shared" si="10"/>
        <v>1</v>
      </c>
      <c r="AA106" s="3" t="str">
        <f t="shared" si="11"/>
        <v>Medium</v>
      </c>
    </row>
    <row r="107" spans="1:27">
      <c r="A107" s="3">
        <v>46087</v>
      </c>
      <c r="B107" s="3" t="s">
        <v>317</v>
      </c>
      <c r="C107" s="3" t="s">
        <v>318</v>
      </c>
      <c r="D107" s="3" t="s">
        <v>52</v>
      </c>
      <c r="E107" s="3" t="s">
        <v>61</v>
      </c>
      <c r="F107" s="3" t="s">
        <v>110</v>
      </c>
      <c r="G107" s="3" t="s">
        <v>55</v>
      </c>
      <c r="H107" s="3">
        <v>80</v>
      </c>
      <c r="I107" s="3">
        <v>0</v>
      </c>
      <c r="J107" s="3">
        <v>44.71</v>
      </c>
      <c r="K107" s="3">
        <v>0</v>
      </c>
      <c r="L107" s="3">
        <v>3576.92</v>
      </c>
      <c r="M107" s="3">
        <v>786.92</v>
      </c>
      <c r="N107" s="3">
        <v>0</v>
      </c>
      <c r="O107" s="3">
        <v>2790</v>
      </c>
      <c r="P107" s="3">
        <v>0</v>
      </c>
      <c r="Q107" s="3">
        <v>3743.41</v>
      </c>
      <c r="R107" s="3" t="s">
        <v>103</v>
      </c>
      <c r="S107" s="3" t="s">
        <v>104</v>
      </c>
      <c r="T107" s="3">
        <v>0</v>
      </c>
      <c r="U107" s="3" t="s">
        <v>105</v>
      </c>
      <c r="V107" s="3" t="str">
        <f t="shared" si="6"/>
        <v>OK</v>
      </c>
      <c r="W107" s="3" t="str">
        <f t="shared" si="7"/>
        <v>OK</v>
      </c>
      <c r="X107" s="3" t="str">
        <f t="shared" si="8"/>
        <v>OK</v>
      </c>
      <c r="Y107" s="3" t="str">
        <f t="shared" si="9"/>
        <v>OK</v>
      </c>
      <c r="Z107" s="3">
        <f t="shared" si="10"/>
        <v>0</v>
      </c>
      <c r="AA107" s="3" t="str">
        <f t="shared" si="11"/>
        <v>Low</v>
      </c>
    </row>
    <row r="108" spans="1:27">
      <c r="A108" s="3">
        <v>46087</v>
      </c>
      <c r="B108" s="3" t="s">
        <v>319</v>
      </c>
      <c r="C108" s="3" t="s">
        <v>320</v>
      </c>
      <c r="D108" s="3" t="s">
        <v>91</v>
      </c>
      <c r="E108" s="3" t="s">
        <v>258</v>
      </c>
      <c r="F108" s="3" t="s">
        <v>102</v>
      </c>
      <c r="G108" s="3" t="s">
        <v>55</v>
      </c>
      <c r="H108" s="3">
        <v>80</v>
      </c>
      <c r="I108" s="3">
        <v>2</v>
      </c>
      <c r="J108" s="3">
        <v>41.35</v>
      </c>
      <c r="K108" s="3">
        <v>250</v>
      </c>
      <c r="L108" s="3">
        <v>3681.74</v>
      </c>
      <c r="M108" s="3">
        <v>809.98</v>
      </c>
      <c r="N108" s="3">
        <v>0</v>
      </c>
      <c r="O108" s="3">
        <v>2871.76</v>
      </c>
      <c r="P108" s="3">
        <v>0</v>
      </c>
      <c r="Q108" s="3">
        <v>3373.84</v>
      </c>
      <c r="R108" s="3" t="s">
        <v>103</v>
      </c>
      <c r="S108" s="3" t="s">
        <v>104</v>
      </c>
      <c r="T108" s="3">
        <v>0</v>
      </c>
      <c r="U108" s="3" t="s">
        <v>105</v>
      </c>
      <c r="V108" s="3" t="str">
        <f t="shared" si="6"/>
        <v>OK</v>
      </c>
      <c r="W108" s="3" t="str">
        <f t="shared" si="7"/>
        <v>OK</v>
      </c>
      <c r="X108" s="3" t="str">
        <f t="shared" si="8"/>
        <v>OK</v>
      </c>
      <c r="Y108" s="3" t="str">
        <f t="shared" si="9"/>
        <v>OK</v>
      </c>
      <c r="Z108" s="3">
        <f t="shared" si="10"/>
        <v>0</v>
      </c>
      <c r="AA108" s="3" t="str">
        <f t="shared" si="11"/>
        <v>Low</v>
      </c>
    </row>
    <row r="109" spans="1:27">
      <c r="A109" s="3">
        <v>46087</v>
      </c>
      <c r="B109" s="3" t="s">
        <v>321</v>
      </c>
      <c r="C109" s="3" t="s">
        <v>322</v>
      </c>
      <c r="D109" s="3" t="s">
        <v>129</v>
      </c>
      <c r="E109" s="3" t="s">
        <v>130</v>
      </c>
      <c r="F109" s="3" t="s">
        <v>117</v>
      </c>
      <c r="G109" s="3" t="s">
        <v>55</v>
      </c>
      <c r="H109" s="3">
        <v>80</v>
      </c>
      <c r="I109" s="3">
        <v>2</v>
      </c>
      <c r="J109" s="3">
        <v>41.83</v>
      </c>
      <c r="K109" s="3">
        <v>0</v>
      </c>
      <c r="L109" s="3">
        <v>3471.64</v>
      </c>
      <c r="M109" s="3">
        <v>763.76</v>
      </c>
      <c r="N109" s="3">
        <v>185</v>
      </c>
      <c r="O109" s="3">
        <v>2522.88</v>
      </c>
      <c r="P109" s="3">
        <v>185</v>
      </c>
      <c r="Q109" s="3">
        <v>3525.47</v>
      </c>
      <c r="R109" s="3" t="s">
        <v>103</v>
      </c>
      <c r="S109" s="3" t="s">
        <v>104</v>
      </c>
      <c r="T109" s="3">
        <v>0</v>
      </c>
      <c r="U109" s="3" t="s">
        <v>105</v>
      </c>
      <c r="V109" s="3" t="str">
        <f t="shared" si="6"/>
        <v>OK</v>
      </c>
      <c r="W109" s="3" t="str">
        <f t="shared" si="7"/>
        <v>OK</v>
      </c>
      <c r="X109" s="3" t="str">
        <f t="shared" si="8"/>
        <v>OK</v>
      </c>
      <c r="Y109" s="3" t="str">
        <f t="shared" si="9"/>
        <v>OK</v>
      </c>
      <c r="Z109" s="3">
        <f t="shared" si="10"/>
        <v>0</v>
      </c>
      <c r="AA109" s="3" t="str">
        <f t="shared" si="11"/>
        <v>Low</v>
      </c>
    </row>
    <row r="110" spans="1:27">
      <c r="A110" s="3">
        <v>46087</v>
      </c>
      <c r="B110" s="3" t="s">
        <v>323</v>
      </c>
      <c r="C110" s="3" t="s">
        <v>191</v>
      </c>
      <c r="D110" s="3" t="s">
        <v>108</v>
      </c>
      <c r="E110" s="3" t="s">
        <v>109</v>
      </c>
      <c r="F110" s="3" t="s">
        <v>77</v>
      </c>
      <c r="G110" s="3" t="s">
        <v>55</v>
      </c>
      <c r="H110" s="3">
        <v>80</v>
      </c>
      <c r="I110" s="3">
        <v>0</v>
      </c>
      <c r="J110" s="3">
        <v>50</v>
      </c>
      <c r="K110" s="3">
        <v>0</v>
      </c>
      <c r="L110" s="3">
        <v>4000</v>
      </c>
      <c r="M110" s="3">
        <v>880</v>
      </c>
      <c r="N110" s="3">
        <v>310</v>
      </c>
      <c r="O110" s="3">
        <v>2810</v>
      </c>
      <c r="P110" s="3">
        <v>310</v>
      </c>
      <c r="Q110" s="3">
        <v>4607.6000000000004</v>
      </c>
      <c r="R110" s="3" t="s">
        <v>56</v>
      </c>
      <c r="S110" s="3" t="s">
        <v>57</v>
      </c>
      <c r="T110" s="3">
        <v>4000</v>
      </c>
      <c r="U110" s="3" t="s">
        <v>58</v>
      </c>
      <c r="V110" s="3" t="str">
        <f t="shared" si="6"/>
        <v>Flag</v>
      </c>
      <c r="W110" s="3" t="str">
        <f t="shared" si="7"/>
        <v>OK</v>
      </c>
      <c r="X110" s="3" t="str">
        <f t="shared" si="8"/>
        <v>OK</v>
      </c>
      <c r="Y110" s="3" t="str">
        <f t="shared" si="9"/>
        <v>OK</v>
      </c>
      <c r="Z110" s="3">
        <f t="shared" si="10"/>
        <v>1</v>
      </c>
      <c r="AA110" s="3" t="str">
        <f t="shared" si="11"/>
        <v>Medium</v>
      </c>
    </row>
    <row r="111" spans="1:27">
      <c r="A111" s="3">
        <v>46087</v>
      </c>
      <c r="B111" s="3" t="s">
        <v>324</v>
      </c>
      <c r="C111" s="3" t="s">
        <v>325</v>
      </c>
      <c r="D111" s="3" t="s">
        <v>129</v>
      </c>
      <c r="E111" s="3" t="s">
        <v>130</v>
      </c>
      <c r="F111" s="3" t="s">
        <v>62</v>
      </c>
      <c r="G111" s="3" t="s">
        <v>55</v>
      </c>
      <c r="H111" s="3">
        <v>80</v>
      </c>
      <c r="I111" s="3">
        <v>28</v>
      </c>
      <c r="J111" s="3">
        <v>42.31</v>
      </c>
      <c r="K111" s="3">
        <v>0</v>
      </c>
      <c r="L111" s="3">
        <v>5161.6400000000003</v>
      </c>
      <c r="M111" s="3">
        <v>1135.56</v>
      </c>
      <c r="N111" s="3">
        <v>0</v>
      </c>
      <c r="O111" s="3">
        <v>4026.08</v>
      </c>
      <c r="P111" s="3">
        <v>0</v>
      </c>
      <c r="Q111" s="3">
        <v>3642.57</v>
      </c>
      <c r="R111" s="3" t="s">
        <v>56</v>
      </c>
      <c r="S111" s="3" t="s">
        <v>93</v>
      </c>
      <c r="T111" s="3">
        <v>5161.6400000000003</v>
      </c>
      <c r="U111" s="3" t="s">
        <v>58</v>
      </c>
      <c r="V111" s="3" t="str">
        <f t="shared" si="6"/>
        <v>Flag</v>
      </c>
      <c r="W111" s="3" t="str">
        <f t="shared" si="7"/>
        <v>Flag</v>
      </c>
      <c r="X111" s="3" t="str">
        <f t="shared" si="8"/>
        <v>OK</v>
      </c>
      <c r="Y111" s="3" t="str">
        <f t="shared" si="9"/>
        <v>OK</v>
      </c>
      <c r="Z111" s="3">
        <f t="shared" si="10"/>
        <v>2</v>
      </c>
      <c r="AA111" s="3" t="str">
        <f t="shared" si="11"/>
        <v>High</v>
      </c>
    </row>
    <row r="112" spans="1:27">
      <c r="A112" s="3">
        <v>46087</v>
      </c>
      <c r="B112" s="3" t="s">
        <v>326</v>
      </c>
      <c r="C112" s="3" t="s">
        <v>327</v>
      </c>
      <c r="D112" s="3" t="s">
        <v>65</v>
      </c>
      <c r="E112" s="3" t="s">
        <v>192</v>
      </c>
      <c r="F112" s="3" t="s">
        <v>84</v>
      </c>
      <c r="G112" s="3" t="s">
        <v>55</v>
      </c>
      <c r="H112" s="3">
        <v>80</v>
      </c>
      <c r="I112" s="3">
        <v>0</v>
      </c>
      <c r="J112" s="3">
        <v>40.380000000000003</v>
      </c>
      <c r="K112" s="3">
        <v>500</v>
      </c>
      <c r="L112" s="3">
        <v>3730.77</v>
      </c>
      <c r="M112" s="3">
        <v>820.77</v>
      </c>
      <c r="N112" s="3">
        <v>310</v>
      </c>
      <c r="O112" s="3">
        <v>2600</v>
      </c>
      <c r="P112" s="3">
        <v>310</v>
      </c>
      <c r="Q112" s="3">
        <v>3341.62</v>
      </c>
      <c r="R112" s="3" t="s">
        <v>103</v>
      </c>
      <c r="S112" s="3" t="s">
        <v>104</v>
      </c>
      <c r="T112" s="3">
        <v>0</v>
      </c>
      <c r="U112" s="3" t="s">
        <v>105</v>
      </c>
      <c r="V112" s="3" t="str">
        <f t="shared" si="6"/>
        <v>OK</v>
      </c>
      <c r="W112" s="3" t="str">
        <f t="shared" si="7"/>
        <v>OK</v>
      </c>
      <c r="X112" s="3" t="str">
        <f t="shared" si="8"/>
        <v>OK</v>
      </c>
      <c r="Y112" s="3" t="str">
        <f t="shared" si="9"/>
        <v>OK</v>
      </c>
      <c r="Z112" s="3">
        <f t="shared" si="10"/>
        <v>0</v>
      </c>
      <c r="AA112" s="3" t="str">
        <f t="shared" si="11"/>
        <v>Low</v>
      </c>
    </row>
    <row r="113" spans="1:27">
      <c r="A113" s="3">
        <v>46087</v>
      </c>
      <c r="B113" s="3" t="s">
        <v>328</v>
      </c>
      <c r="C113" s="3" t="s">
        <v>329</v>
      </c>
      <c r="D113" s="3" t="s">
        <v>65</v>
      </c>
      <c r="E113" s="3" t="s">
        <v>66</v>
      </c>
      <c r="F113" s="3" t="s">
        <v>117</v>
      </c>
      <c r="G113" s="3" t="s">
        <v>55</v>
      </c>
      <c r="H113" s="3">
        <v>80</v>
      </c>
      <c r="I113" s="3">
        <v>8</v>
      </c>
      <c r="J113" s="3">
        <v>50</v>
      </c>
      <c r="K113" s="3">
        <v>250</v>
      </c>
      <c r="L113" s="3">
        <v>4850</v>
      </c>
      <c r="M113" s="3">
        <v>1067</v>
      </c>
      <c r="N113" s="3">
        <v>185</v>
      </c>
      <c r="O113" s="3">
        <v>3598</v>
      </c>
      <c r="P113" s="3">
        <v>185</v>
      </c>
      <c r="Q113" s="3">
        <v>4311.74</v>
      </c>
      <c r="R113" s="3" t="s">
        <v>103</v>
      </c>
      <c r="S113" s="3" t="s">
        <v>104</v>
      </c>
      <c r="T113" s="3">
        <v>0</v>
      </c>
      <c r="U113" s="3" t="s">
        <v>105</v>
      </c>
      <c r="V113" s="3" t="str">
        <f t="shared" si="6"/>
        <v>Flag</v>
      </c>
      <c r="W113" s="3" t="str">
        <f t="shared" si="7"/>
        <v>OK</v>
      </c>
      <c r="X113" s="3" t="str">
        <f t="shared" si="8"/>
        <v>OK</v>
      </c>
      <c r="Y113" s="3" t="str">
        <f t="shared" si="9"/>
        <v>OK</v>
      </c>
      <c r="Z113" s="3">
        <f t="shared" si="10"/>
        <v>1</v>
      </c>
      <c r="AA113" s="3" t="str">
        <f t="shared" si="11"/>
        <v>Medium</v>
      </c>
    </row>
    <row r="114" spans="1:27">
      <c r="A114" s="3">
        <v>46087</v>
      </c>
      <c r="B114" s="3" t="s">
        <v>330</v>
      </c>
      <c r="C114" s="3" t="s">
        <v>313</v>
      </c>
      <c r="D114" s="3" t="s">
        <v>108</v>
      </c>
      <c r="E114" s="3" t="s">
        <v>185</v>
      </c>
      <c r="F114" s="3" t="s">
        <v>77</v>
      </c>
      <c r="G114" s="3" t="s">
        <v>68</v>
      </c>
      <c r="H114" s="3">
        <v>80</v>
      </c>
      <c r="I114" s="3">
        <v>0</v>
      </c>
      <c r="J114" s="3">
        <v>41.35</v>
      </c>
      <c r="K114" s="3">
        <v>500</v>
      </c>
      <c r="L114" s="3">
        <v>3807.69</v>
      </c>
      <c r="M114" s="3">
        <v>837.69</v>
      </c>
      <c r="N114" s="3">
        <v>0</v>
      </c>
      <c r="O114" s="3">
        <v>2970</v>
      </c>
      <c r="P114" s="3">
        <v>0</v>
      </c>
      <c r="Q114" s="3">
        <v>3994.52</v>
      </c>
      <c r="R114" s="3" t="s">
        <v>56</v>
      </c>
      <c r="S114" s="3" t="s">
        <v>69</v>
      </c>
      <c r="T114" s="3">
        <v>3807.69</v>
      </c>
      <c r="U114" s="3" t="s">
        <v>58</v>
      </c>
      <c r="V114" s="3" t="str">
        <f t="shared" si="6"/>
        <v>OK</v>
      </c>
      <c r="W114" s="3" t="str">
        <f t="shared" si="7"/>
        <v>OK</v>
      </c>
      <c r="X114" s="3" t="str">
        <f t="shared" si="8"/>
        <v>Flag</v>
      </c>
      <c r="Y114" s="3" t="str">
        <f t="shared" si="9"/>
        <v>OK</v>
      </c>
      <c r="Z114" s="3">
        <f t="shared" si="10"/>
        <v>1</v>
      </c>
      <c r="AA114" s="3" t="str">
        <f t="shared" si="11"/>
        <v>Medium</v>
      </c>
    </row>
    <row r="115" spans="1:27">
      <c r="A115" s="3">
        <v>46087</v>
      </c>
      <c r="B115" s="3" t="s">
        <v>331</v>
      </c>
      <c r="C115" s="3" t="s">
        <v>332</v>
      </c>
      <c r="D115" s="3" t="s">
        <v>108</v>
      </c>
      <c r="E115" s="3" t="s">
        <v>109</v>
      </c>
      <c r="F115" s="3" t="s">
        <v>110</v>
      </c>
      <c r="G115" s="3" t="s">
        <v>68</v>
      </c>
      <c r="H115" s="3">
        <v>80</v>
      </c>
      <c r="I115" s="3">
        <v>8</v>
      </c>
      <c r="J115" s="3">
        <v>43.75</v>
      </c>
      <c r="K115" s="3">
        <v>250</v>
      </c>
      <c r="L115" s="3">
        <v>4275</v>
      </c>
      <c r="M115" s="3">
        <v>940.5</v>
      </c>
      <c r="N115" s="3">
        <v>0</v>
      </c>
      <c r="O115" s="3">
        <v>3334.5</v>
      </c>
      <c r="P115" s="3">
        <v>0</v>
      </c>
      <c r="Q115" s="3">
        <v>4046.24</v>
      </c>
      <c r="R115" s="3" t="s">
        <v>56</v>
      </c>
      <c r="S115" s="3" t="s">
        <v>224</v>
      </c>
      <c r="T115" s="3">
        <v>4275</v>
      </c>
      <c r="U115" s="3" t="s">
        <v>58</v>
      </c>
      <c r="V115" s="3" t="str">
        <f t="shared" si="6"/>
        <v>OK</v>
      </c>
      <c r="W115" s="3" t="str">
        <f t="shared" si="7"/>
        <v>OK</v>
      </c>
      <c r="X115" s="3" t="str">
        <f t="shared" si="8"/>
        <v>Flag</v>
      </c>
      <c r="Y115" s="3" t="str">
        <f t="shared" si="9"/>
        <v>OK</v>
      </c>
      <c r="Z115" s="3">
        <f t="shared" si="10"/>
        <v>1</v>
      </c>
      <c r="AA115" s="3" t="str">
        <f t="shared" si="11"/>
        <v>Medium</v>
      </c>
    </row>
    <row r="116" spans="1:27">
      <c r="A116" s="3">
        <v>46087</v>
      </c>
      <c r="B116" s="3" t="s">
        <v>333</v>
      </c>
      <c r="C116" s="3" t="s">
        <v>334</v>
      </c>
      <c r="D116" s="3" t="s">
        <v>52</v>
      </c>
      <c r="E116" s="3" t="s">
        <v>53</v>
      </c>
      <c r="F116" s="3" t="s">
        <v>84</v>
      </c>
      <c r="G116" s="3" t="s">
        <v>68</v>
      </c>
      <c r="H116" s="3">
        <v>80</v>
      </c>
      <c r="I116" s="3">
        <v>8</v>
      </c>
      <c r="J116" s="3">
        <v>34.130000000000003</v>
      </c>
      <c r="K116" s="3">
        <v>0</v>
      </c>
      <c r="L116" s="3">
        <v>3140.33</v>
      </c>
      <c r="M116" s="3">
        <v>690.87</v>
      </c>
      <c r="N116" s="3">
        <v>310</v>
      </c>
      <c r="O116" s="3">
        <v>2139.46</v>
      </c>
      <c r="P116" s="3">
        <v>310</v>
      </c>
      <c r="Q116" s="3">
        <v>2933.85</v>
      </c>
      <c r="R116" s="3" t="s">
        <v>56</v>
      </c>
      <c r="S116" s="3" t="s">
        <v>224</v>
      </c>
      <c r="T116" s="3">
        <v>3140.33</v>
      </c>
      <c r="U116" s="3" t="s">
        <v>58</v>
      </c>
      <c r="V116" s="3" t="str">
        <f t="shared" si="6"/>
        <v>OK</v>
      </c>
      <c r="W116" s="3" t="str">
        <f t="shared" si="7"/>
        <v>OK</v>
      </c>
      <c r="X116" s="3" t="str">
        <f t="shared" si="8"/>
        <v>Flag</v>
      </c>
      <c r="Y116" s="3" t="str">
        <f t="shared" si="9"/>
        <v>OK</v>
      </c>
      <c r="Z116" s="3">
        <f t="shared" si="10"/>
        <v>1</v>
      </c>
      <c r="AA116" s="3" t="str">
        <f t="shared" si="11"/>
        <v>Medium</v>
      </c>
    </row>
    <row r="117" spans="1:27">
      <c r="A117" s="3">
        <v>46087</v>
      </c>
      <c r="B117" s="3" t="s">
        <v>335</v>
      </c>
      <c r="C117" s="3" t="s">
        <v>336</v>
      </c>
      <c r="D117" s="3" t="s">
        <v>100</v>
      </c>
      <c r="E117" s="3" t="s">
        <v>203</v>
      </c>
      <c r="F117" s="3" t="s">
        <v>77</v>
      </c>
      <c r="G117" s="3" t="s">
        <v>68</v>
      </c>
      <c r="H117" s="3">
        <v>80</v>
      </c>
      <c r="I117" s="3">
        <v>2</v>
      </c>
      <c r="J117" s="3">
        <v>52.88</v>
      </c>
      <c r="K117" s="3">
        <v>500</v>
      </c>
      <c r="L117" s="3">
        <v>4889.41</v>
      </c>
      <c r="M117" s="3">
        <v>1075.67</v>
      </c>
      <c r="N117" s="3">
        <v>0</v>
      </c>
      <c r="O117" s="3">
        <v>3813.74</v>
      </c>
      <c r="P117" s="3">
        <v>0</v>
      </c>
      <c r="Q117" s="3">
        <v>4535.18</v>
      </c>
      <c r="R117" s="3" t="s">
        <v>56</v>
      </c>
      <c r="S117" s="3" t="s">
        <v>69</v>
      </c>
      <c r="T117" s="3">
        <v>4889.41</v>
      </c>
      <c r="U117" s="3" t="s">
        <v>58</v>
      </c>
      <c r="V117" s="3" t="str">
        <f t="shared" si="6"/>
        <v>OK</v>
      </c>
      <c r="W117" s="3" t="str">
        <f t="shared" si="7"/>
        <v>OK</v>
      </c>
      <c r="X117" s="3" t="str">
        <f t="shared" si="8"/>
        <v>Flag</v>
      </c>
      <c r="Y117" s="3" t="str">
        <f t="shared" si="9"/>
        <v>OK</v>
      </c>
      <c r="Z117" s="3">
        <f t="shared" si="10"/>
        <v>1</v>
      </c>
      <c r="AA117" s="3" t="str">
        <f t="shared" si="11"/>
        <v>Medium</v>
      </c>
    </row>
    <row r="118" spans="1:27">
      <c r="A118" s="3">
        <v>46087</v>
      </c>
      <c r="B118" s="3" t="s">
        <v>337</v>
      </c>
      <c r="C118" s="3" t="s">
        <v>338</v>
      </c>
      <c r="D118" s="3" t="s">
        <v>129</v>
      </c>
      <c r="E118" s="3" t="s">
        <v>162</v>
      </c>
      <c r="F118" s="3" t="s">
        <v>54</v>
      </c>
      <c r="G118" s="3" t="s">
        <v>68</v>
      </c>
      <c r="H118" s="3">
        <v>80</v>
      </c>
      <c r="I118" s="3">
        <v>0</v>
      </c>
      <c r="J118" s="3">
        <v>55.77</v>
      </c>
      <c r="K118" s="3">
        <v>0</v>
      </c>
      <c r="L118" s="3">
        <v>4461.54</v>
      </c>
      <c r="M118" s="3">
        <v>981.54</v>
      </c>
      <c r="N118" s="3">
        <v>310</v>
      </c>
      <c r="O118" s="3">
        <v>3170</v>
      </c>
      <c r="P118" s="3">
        <v>310</v>
      </c>
      <c r="Q118" s="3">
        <v>4940.04</v>
      </c>
      <c r="R118" s="3" t="s">
        <v>56</v>
      </c>
      <c r="S118" s="3" t="s">
        <v>69</v>
      </c>
      <c r="T118" s="3">
        <v>4461.54</v>
      </c>
      <c r="U118" s="3" t="s">
        <v>58</v>
      </c>
      <c r="V118" s="3" t="str">
        <f t="shared" si="6"/>
        <v>OK</v>
      </c>
      <c r="W118" s="3" t="str">
        <f t="shared" si="7"/>
        <v>OK</v>
      </c>
      <c r="X118" s="3" t="str">
        <f t="shared" si="8"/>
        <v>Flag</v>
      </c>
      <c r="Y118" s="3" t="str">
        <f t="shared" si="9"/>
        <v>OK</v>
      </c>
      <c r="Z118" s="3">
        <f t="shared" si="10"/>
        <v>1</v>
      </c>
      <c r="AA118" s="3" t="str">
        <f t="shared" si="11"/>
        <v>Medium</v>
      </c>
    </row>
    <row r="119" spans="1:27">
      <c r="A119" s="3">
        <v>46087</v>
      </c>
      <c r="B119" s="3" t="s">
        <v>339</v>
      </c>
      <c r="C119" s="3" t="s">
        <v>340</v>
      </c>
      <c r="D119" s="3" t="s">
        <v>100</v>
      </c>
      <c r="E119" s="3" t="s">
        <v>101</v>
      </c>
      <c r="F119" s="3" t="s">
        <v>102</v>
      </c>
      <c r="G119" s="3" t="s">
        <v>68</v>
      </c>
      <c r="H119" s="3">
        <v>80</v>
      </c>
      <c r="I119" s="3">
        <v>4</v>
      </c>
      <c r="J119" s="3">
        <v>52.4</v>
      </c>
      <c r="K119" s="3">
        <v>0</v>
      </c>
      <c r="L119" s="3">
        <v>4506.71</v>
      </c>
      <c r="M119" s="3">
        <v>991.48</v>
      </c>
      <c r="N119" s="3">
        <v>0</v>
      </c>
      <c r="O119" s="3">
        <v>3515.23</v>
      </c>
      <c r="P119" s="3">
        <v>0</v>
      </c>
      <c r="Q119" s="3">
        <v>4533.6099999999997</v>
      </c>
      <c r="R119" s="3" t="s">
        <v>56</v>
      </c>
      <c r="S119" s="3" t="s">
        <v>224</v>
      </c>
      <c r="T119" s="3">
        <v>4506.71</v>
      </c>
      <c r="U119" s="3" t="s">
        <v>58</v>
      </c>
      <c r="V119" s="3" t="str">
        <f t="shared" si="6"/>
        <v>OK</v>
      </c>
      <c r="W119" s="3" t="str">
        <f t="shared" si="7"/>
        <v>OK</v>
      </c>
      <c r="X119" s="3" t="str">
        <f t="shared" si="8"/>
        <v>Flag</v>
      </c>
      <c r="Y119" s="3" t="str">
        <f t="shared" si="9"/>
        <v>OK</v>
      </c>
      <c r="Z119" s="3">
        <f t="shared" si="10"/>
        <v>1</v>
      </c>
      <c r="AA119" s="3" t="str">
        <f t="shared" si="11"/>
        <v>Medium</v>
      </c>
    </row>
    <row r="120" spans="1:27">
      <c r="A120" s="3">
        <v>46087</v>
      </c>
      <c r="B120" s="3" t="s">
        <v>341</v>
      </c>
      <c r="C120" s="3" t="s">
        <v>342</v>
      </c>
      <c r="D120" s="3" t="s">
        <v>133</v>
      </c>
      <c r="E120" s="3" t="s">
        <v>147</v>
      </c>
      <c r="F120" s="3" t="s">
        <v>122</v>
      </c>
      <c r="G120" s="3" t="s">
        <v>68</v>
      </c>
      <c r="H120" s="3">
        <v>80</v>
      </c>
      <c r="I120" s="3">
        <v>0</v>
      </c>
      <c r="J120" s="3">
        <v>60.1</v>
      </c>
      <c r="K120" s="3">
        <v>250</v>
      </c>
      <c r="L120" s="3">
        <v>5057.6899999999996</v>
      </c>
      <c r="M120" s="3">
        <v>1112.69</v>
      </c>
      <c r="N120" s="3">
        <v>310</v>
      </c>
      <c r="O120" s="3">
        <v>3635</v>
      </c>
      <c r="P120" s="3">
        <v>310</v>
      </c>
      <c r="Q120" s="3">
        <v>5489.34</v>
      </c>
      <c r="R120" s="3" t="s">
        <v>56</v>
      </c>
      <c r="S120" s="3" t="s">
        <v>69</v>
      </c>
      <c r="T120" s="3">
        <v>5057.6899999999996</v>
      </c>
      <c r="U120" s="3" t="s">
        <v>58</v>
      </c>
      <c r="V120" s="3" t="str">
        <f t="shared" si="6"/>
        <v>OK</v>
      </c>
      <c r="W120" s="3" t="str">
        <f t="shared" si="7"/>
        <v>OK</v>
      </c>
      <c r="X120" s="3" t="str">
        <f t="shared" si="8"/>
        <v>Flag</v>
      </c>
      <c r="Y120" s="3" t="str">
        <f t="shared" si="9"/>
        <v>OK</v>
      </c>
      <c r="Z120" s="3">
        <f t="shared" si="10"/>
        <v>1</v>
      </c>
      <c r="AA120" s="3" t="str">
        <f t="shared" si="11"/>
        <v>Medium</v>
      </c>
    </row>
    <row r="121" spans="1:27">
      <c r="A121" s="3">
        <v>46087</v>
      </c>
      <c r="B121" s="3" t="s">
        <v>343</v>
      </c>
      <c r="C121" s="3" t="s">
        <v>344</v>
      </c>
      <c r="D121" s="3" t="s">
        <v>65</v>
      </c>
      <c r="E121" s="3" t="s">
        <v>192</v>
      </c>
      <c r="F121" s="3" t="s">
        <v>77</v>
      </c>
      <c r="G121" s="3" t="s">
        <v>68</v>
      </c>
      <c r="H121" s="3">
        <v>80</v>
      </c>
      <c r="I121" s="3">
        <v>4</v>
      </c>
      <c r="J121" s="3">
        <v>34.130000000000003</v>
      </c>
      <c r="K121" s="3">
        <v>0</v>
      </c>
      <c r="L121" s="3">
        <v>2935.55</v>
      </c>
      <c r="M121" s="3">
        <v>645.82000000000005</v>
      </c>
      <c r="N121" s="3">
        <v>310</v>
      </c>
      <c r="O121" s="3">
        <v>1979.73</v>
      </c>
      <c r="P121" s="3">
        <v>310</v>
      </c>
      <c r="Q121" s="3">
        <v>3180.33</v>
      </c>
      <c r="R121" s="3" t="s">
        <v>56</v>
      </c>
      <c r="S121" s="3" t="s">
        <v>69</v>
      </c>
      <c r="T121" s="3">
        <v>2935.55</v>
      </c>
      <c r="U121" s="3" t="s">
        <v>58</v>
      </c>
      <c r="V121" s="3" t="str">
        <f t="shared" si="6"/>
        <v>OK</v>
      </c>
      <c r="W121" s="3" t="str">
        <f t="shared" si="7"/>
        <v>OK</v>
      </c>
      <c r="X121" s="3" t="str">
        <f t="shared" si="8"/>
        <v>Flag</v>
      </c>
      <c r="Y121" s="3" t="str">
        <f t="shared" si="9"/>
        <v>OK</v>
      </c>
      <c r="Z121" s="3">
        <f t="shared" si="10"/>
        <v>1</v>
      </c>
      <c r="AA121" s="3" t="str">
        <f t="shared" si="11"/>
        <v>Medium</v>
      </c>
    </row>
    <row r="122" spans="1:27">
      <c r="A122" s="3">
        <v>46087</v>
      </c>
      <c r="B122" s="3" t="s">
        <v>345</v>
      </c>
      <c r="C122" s="3" t="s">
        <v>346</v>
      </c>
      <c r="D122" s="3" t="s">
        <v>80</v>
      </c>
      <c r="E122" s="3" t="s">
        <v>88</v>
      </c>
      <c r="F122" s="3" t="s">
        <v>77</v>
      </c>
      <c r="G122" s="3" t="s">
        <v>347</v>
      </c>
      <c r="H122" s="3">
        <v>80</v>
      </c>
      <c r="I122" s="3">
        <v>2</v>
      </c>
      <c r="J122" s="3">
        <v>57.21</v>
      </c>
      <c r="K122" s="3">
        <v>0</v>
      </c>
      <c r="L122" s="3">
        <v>4748.55</v>
      </c>
      <c r="M122" s="3">
        <v>1044.68</v>
      </c>
      <c r="N122" s="3">
        <v>310</v>
      </c>
      <c r="O122" s="3">
        <v>3393.87</v>
      </c>
      <c r="P122" s="3">
        <v>310</v>
      </c>
      <c r="Q122" s="3">
        <v>4765.7700000000004</v>
      </c>
      <c r="R122" s="3" t="s">
        <v>56</v>
      </c>
      <c r="S122" s="3" t="s">
        <v>57</v>
      </c>
      <c r="T122" s="3">
        <v>4748.55</v>
      </c>
      <c r="U122" s="3" t="s">
        <v>58</v>
      </c>
      <c r="V122" s="3" t="str">
        <f t="shared" si="6"/>
        <v>OK</v>
      </c>
      <c r="W122" s="3" t="str">
        <f t="shared" si="7"/>
        <v>OK</v>
      </c>
      <c r="X122" s="3" t="str">
        <f t="shared" si="8"/>
        <v>OK</v>
      </c>
      <c r="Y122" s="3" t="str">
        <f t="shared" si="9"/>
        <v>OK</v>
      </c>
      <c r="Z122" s="3">
        <f t="shared" si="10"/>
        <v>0</v>
      </c>
      <c r="AA122" s="3" t="str">
        <f t="shared" si="11"/>
        <v>Low</v>
      </c>
    </row>
    <row r="123" spans="1:27">
      <c r="A123" s="3">
        <v>46087</v>
      </c>
      <c r="B123" s="3" t="s">
        <v>348</v>
      </c>
      <c r="C123" s="3" t="s">
        <v>349</v>
      </c>
      <c r="D123" s="3" t="s">
        <v>133</v>
      </c>
      <c r="E123" s="3" t="s">
        <v>134</v>
      </c>
      <c r="F123" s="3" t="s">
        <v>217</v>
      </c>
      <c r="G123" s="3" t="s">
        <v>347</v>
      </c>
      <c r="H123" s="3">
        <v>80</v>
      </c>
      <c r="I123" s="3">
        <v>0</v>
      </c>
      <c r="J123" s="3">
        <v>53.85</v>
      </c>
      <c r="K123" s="3">
        <v>4000</v>
      </c>
      <c r="L123" s="3">
        <v>8307.69</v>
      </c>
      <c r="M123" s="3">
        <v>1827.69</v>
      </c>
      <c r="N123" s="3">
        <v>310</v>
      </c>
      <c r="O123" s="3">
        <v>6170</v>
      </c>
      <c r="P123" s="3">
        <v>310</v>
      </c>
      <c r="Q123" s="3">
        <v>4585.9399999999996</v>
      </c>
      <c r="R123" s="3" t="s">
        <v>56</v>
      </c>
      <c r="S123" s="3" t="s">
        <v>275</v>
      </c>
      <c r="T123" s="3">
        <v>8307.69</v>
      </c>
      <c r="U123" s="3" t="s">
        <v>58</v>
      </c>
      <c r="V123" s="3" t="str">
        <f t="shared" si="6"/>
        <v>Flag</v>
      </c>
      <c r="W123" s="3" t="str">
        <f t="shared" si="7"/>
        <v>OK</v>
      </c>
      <c r="X123" s="3" t="str">
        <f t="shared" si="8"/>
        <v>OK</v>
      </c>
      <c r="Y123" s="3" t="str">
        <f t="shared" si="9"/>
        <v>OK</v>
      </c>
      <c r="Z123" s="3">
        <f t="shared" si="10"/>
        <v>1</v>
      </c>
      <c r="AA123" s="3" t="str">
        <f t="shared" si="11"/>
        <v>Medium</v>
      </c>
    </row>
    <row r="124" spans="1:27">
      <c r="A124" s="3">
        <v>46087</v>
      </c>
      <c r="B124" s="3" t="s">
        <v>350</v>
      </c>
      <c r="C124" s="3" t="s">
        <v>351</v>
      </c>
      <c r="D124" s="3" t="s">
        <v>133</v>
      </c>
      <c r="E124" s="3" t="s">
        <v>134</v>
      </c>
      <c r="F124" s="3" t="s">
        <v>84</v>
      </c>
      <c r="G124" s="3" t="s">
        <v>347</v>
      </c>
      <c r="H124" s="3">
        <v>80</v>
      </c>
      <c r="I124" s="3">
        <v>4</v>
      </c>
      <c r="J124" s="3">
        <v>57.69</v>
      </c>
      <c r="K124" s="3">
        <v>0</v>
      </c>
      <c r="L124" s="3">
        <v>4961.5200000000004</v>
      </c>
      <c r="M124" s="3">
        <v>1091.53</v>
      </c>
      <c r="N124" s="3">
        <v>310</v>
      </c>
      <c r="O124" s="3">
        <v>3559.99</v>
      </c>
      <c r="P124" s="3">
        <v>310</v>
      </c>
      <c r="Q124" s="3">
        <v>4603.6000000000004</v>
      </c>
      <c r="R124" s="3" t="s">
        <v>103</v>
      </c>
      <c r="S124" s="3" t="s">
        <v>104</v>
      </c>
      <c r="T124" s="3">
        <v>0</v>
      </c>
      <c r="U124" s="3" t="s">
        <v>105</v>
      </c>
      <c r="V124" s="3" t="str">
        <f t="shared" si="6"/>
        <v>OK</v>
      </c>
      <c r="W124" s="3" t="str">
        <f t="shared" si="7"/>
        <v>OK</v>
      </c>
      <c r="X124" s="3" t="str">
        <f t="shared" si="8"/>
        <v>OK</v>
      </c>
      <c r="Y124" s="3" t="str">
        <f t="shared" si="9"/>
        <v>OK</v>
      </c>
      <c r="Z124" s="3">
        <f t="shared" si="10"/>
        <v>0</v>
      </c>
      <c r="AA124" s="3" t="str">
        <f t="shared" si="11"/>
        <v>Low</v>
      </c>
    </row>
    <row r="125" spans="1:27">
      <c r="A125" s="3">
        <v>46087</v>
      </c>
      <c r="B125" s="3" t="s">
        <v>352</v>
      </c>
      <c r="C125" s="3" t="s">
        <v>353</v>
      </c>
      <c r="D125" s="3" t="s">
        <v>108</v>
      </c>
      <c r="E125" s="3" t="s">
        <v>185</v>
      </c>
      <c r="F125" s="3" t="s">
        <v>110</v>
      </c>
      <c r="G125" s="3" t="s">
        <v>347</v>
      </c>
      <c r="H125" s="3">
        <v>80</v>
      </c>
      <c r="I125" s="3">
        <v>0</v>
      </c>
      <c r="J125" s="3">
        <v>39.42</v>
      </c>
      <c r="K125" s="3">
        <v>0</v>
      </c>
      <c r="L125" s="3">
        <v>3153.85</v>
      </c>
      <c r="M125" s="3">
        <v>693.85</v>
      </c>
      <c r="N125" s="3">
        <v>0</v>
      </c>
      <c r="O125" s="3">
        <v>2460</v>
      </c>
      <c r="P125" s="3">
        <v>0</v>
      </c>
      <c r="Q125" s="3">
        <v>3460.81</v>
      </c>
      <c r="R125" s="3" t="s">
        <v>103</v>
      </c>
      <c r="S125" s="3" t="s">
        <v>104</v>
      </c>
      <c r="T125" s="3">
        <v>0</v>
      </c>
      <c r="U125" s="3" t="s">
        <v>105</v>
      </c>
      <c r="V125" s="3" t="str">
        <f t="shared" si="6"/>
        <v>OK</v>
      </c>
      <c r="W125" s="3" t="str">
        <f t="shared" si="7"/>
        <v>OK</v>
      </c>
      <c r="X125" s="3" t="str">
        <f t="shared" si="8"/>
        <v>OK</v>
      </c>
      <c r="Y125" s="3" t="str">
        <f t="shared" si="9"/>
        <v>OK</v>
      </c>
      <c r="Z125" s="3">
        <f t="shared" si="10"/>
        <v>0</v>
      </c>
      <c r="AA125" s="3" t="str">
        <f t="shared" si="11"/>
        <v>Low</v>
      </c>
    </row>
    <row r="126" spans="1:27">
      <c r="A126" s="3">
        <v>46087</v>
      </c>
      <c r="B126" s="3" t="s">
        <v>354</v>
      </c>
      <c r="C126" s="3" t="s">
        <v>355</v>
      </c>
      <c r="D126" s="3" t="s">
        <v>52</v>
      </c>
      <c r="E126" s="3" t="s">
        <v>113</v>
      </c>
      <c r="F126" s="3" t="s">
        <v>84</v>
      </c>
      <c r="G126" s="3" t="s">
        <v>347</v>
      </c>
      <c r="H126" s="3">
        <v>80</v>
      </c>
      <c r="I126" s="3">
        <v>0</v>
      </c>
      <c r="J126" s="3">
        <v>51.92</v>
      </c>
      <c r="K126" s="3">
        <v>0</v>
      </c>
      <c r="L126" s="3">
        <v>4153.8500000000004</v>
      </c>
      <c r="M126" s="3">
        <v>913.85</v>
      </c>
      <c r="N126" s="3">
        <v>185</v>
      </c>
      <c r="O126" s="3">
        <v>3055</v>
      </c>
      <c r="P126" s="3">
        <v>185</v>
      </c>
      <c r="Q126" s="3">
        <v>4692.18</v>
      </c>
      <c r="R126" s="3" t="s">
        <v>103</v>
      </c>
      <c r="S126" s="3" t="s">
        <v>104</v>
      </c>
      <c r="T126" s="3">
        <v>0</v>
      </c>
      <c r="U126" s="3" t="s">
        <v>105</v>
      </c>
      <c r="V126" s="3" t="str">
        <f t="shared" si="6"/>
        <v>Flag</v>
      </c>
      <c r="W126" s="3" t="str">
        <f t="shared" si="7"/>
        <v>OK</v>
      </c>
      <c r="X126" s="3" t="str">
        <f t="shared" si="8"/>
        <v>OK</v>
      </c>
      <c r="Y126" s="3" t="str">
        <f t="shared" si="9"/>
        <v>OK</v>
      </c>
      <c r="Z126" s="3">
        <f t="shared" si="10"/>
        <v>1</v>
      </c>
      <c r="AA126" s="3" t="str">
        <f t="shared" si="11"/>
        <v>Medium</v>
      </c>
    </row>
    <row r="127" spans="1:27">
      <c r="A127" s="3">
        <v>46087</v>
      </c>
      <c r="B127" s="3" t="s">
        <v>120</v>
      </c>
      <c r="C127" s="3" t="s">
        <v>121</v>
      </c>
      <c r="D127" s="3" t="s">
        <v>91</v>
      </c>
      <c r="E127" s="3" t="s">
        <v>92</v>
      </c>
      <c r="F127" s="3" t="s">
        <v>122</v>
      </c>
      <c r="G127" s="3" t="s">
        <v>55</v>
      </c>
      <c r="H127" s="3">
        <v>80</v>
      </c>
      <c r="I127" s="3">
        <v>8</v>
      </c>
      <c r="J127" s="3">
        <v>58.17</v>
      </c>
      <c r="K127" s="3">
        <v>0</v>
      </c>
      <c r="L127" s="3">
        <v>5351.89</v>
      </c>
      <c r="M127" s="3">
        <v>1177.42</v>
      </c>
      <c r="N127" s="3">
        <v>0</v>
      </c>
      <c r="O127" s="3">
        <v>4174.47</v>
      </c>
      <c r="P127" s="3">
        <v>0</v>
      </c>
      <c r="Q127" s="3">
        <v>5438.12</v>
      </c>
      <c r="R127" s="3" t="s">
        <v>56</v>
      </c>
      <c r="S127" s="3" t="s">
        <v>57</v>
      </c>
      <c r="T127" s="3">
        <v>5351.89</v>
      </c>
      <c r="U127" s="3" t="s">
        <v>356</v>
      </c>
      <c r="V127" s="3" t="str">
        <f t="shared" si="6"/>
        <v>OK</v>
      </c>
      <c r="W127" s="3" t="str">
        <f t="shared" si="7"/>
        <v>OK</v>
      </c>
      <c r="X127" s="3" t="str">
        <f t="shared" si="8"/>
        <v>OK</v>
      </c>
      <c r="Y127" s="3" t="str">
        <f t="shared" si="9"/>
        <v>OK</v>
      </c>
      <c r="Z127" s="3">
        <f t="shared" si="10"/>
        <v>0</v>
      </c>
      <c r="AA127" s="3" t="str">
        <f t="shared" si="11"/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1FF1-FA85-4C92-888A-65D7155D1523}">
  <dimension ref="A1:D16"/>
  <sheetViews>
    <sheetView zoomScale="70" zoomScaleNormal="70" workbookViewId="0">
      <selection activeCell="B3" sqref="B3"/>
    </sheetView>
  </sheetViews>
  <sheetFormatPr defaultRowHeight="14"/>
  <cols>
    <col min="1" max="1" width="47.08203125" bestFit="1" customWidth="1"/>
    <col min="2" max="2" width="6.75" bestFit="1" customWidth="1"/>
    <col min="3" max="3" width="13.5" bestFit="1" customWidth="1"/>
    <col min="4" max="4" width="13.58203125" bestFit="1" customWidth="1"/>
  </cols>
  <sheetData>
    <row r="1" spans="1:4">
      <c r="A1" s="6" t="s">
        <v>32</v>
      </c>
      <c r="B1" t="s">
        <v>447</v>
      </c>
    </row>
    <row r="3" spans="1:4">
      <c r="A3" s="6" t="s">
        <v>456</v>
      </c>
      <c r="B3" t="s">
        <v>457</v>
      </c>
      <c r="C3" t="s">
        <v>448</v>
      </c>
      <c r="D3" t="s">
        <v>449</v>
      </c>
    </row>
    <row r="4" spans="1:4">
      <c r="A4" s="7" t="s">
        <v>141</v>
      </c>
      <c r="B4" s="8">
        <v>2</v>
      </c>
      <c r="C4" s="8">
        <v>8934.58</v>
      </c>
      <c r="D4" s="9">
        <v>2.5203760899481707E-2</v>
      </c>
    </row>
    <row r="5" spans="1:4">
      <c r="A5" s="7" t="s">
        <v>316</v>
      </c>
      <c r="B5" s="8">
        <v>1</v>
      </c>
      <c r="C5" s="8">
        <v>3555.79</v>
      </c>
      <c r="D5" s="9">
        <v>1.0030609269687893E-2</v>
      </c>
    </row>
    <row r="6" spans="1:4">
      <c r="A6" s="7" t="s">
        <v>114</v>
      </c>
      <c r="B6" s="8">
        <v>2</v>
      </c>
      <c r="C6" s="8">
        <v>9962.52</v>
      </c>
      <c r="D6" s="9">
        <v>2.8103500336479667E-2</v>
      </c>
    </row>
    <row r="7" spans="1:4">
      <c r="A7" s="7" t="s">
        <v>104</v>
      </c>
      <c r="B7" s="8">
        <v>41</v>
      </c>
      <c r="C7" s="8">
        <v>0</v>
      </c>
      <c r="D7" s="9">
        <v>0</v>
      </c>
    </row>
    <row r="8" spans="1:4">
      <c r="A8" s="7" t="s">
        <v>189</v>
      </c>
      <c r="B8" s="8">
        <v>2</v>
      </c>
      <c r="C8" s="8">
        <v>14453.01</v>
      </c>
      <c r="D8" s="9">
        <v>4.0770826196398498E-2</v>
      </c>
    </row>
    <row r="9" spans="1:4">
      <c r="A9" s="7" t="s">
        <v>93</v>
      </c>
      <c r="B9" s="8">
        <v>2</v>
      </c>
      <c r="C9" s="8">
        <v>10206.030000000001</v>
      </c>
      <c r="D9" s="9">
        <v>2.8790423260291732E-2</v>
      </c>
    </row>
    <row r="10" spans="1:4">
      <c r="A10" s="7" t="s">
        <v>85</v>
      </c>
      <c r="B10" s="8">
        <v>3</v>
      </c>
      <c r="C10" s="8">
        <v>19939.47</v>
      </c>
      <c r="D10" s="9">
        <v>5.6247706589720899E-2</v>
      </c>
    </row>
    <row r="11" spans="1:4">
      <c r="A11" s="7" t="s">
        <v>275</v>
      </c>
      <c r="B11" s="8">
        <v>2</v>
      </c>
      <c r="C11" s="8">
        <v>14370.19</v>
      </c>
      <c r="D11" s="9">
        <v>4.0537197365754521E-2</v>
      </c>
    </row>
    <row r="12" spans="1:4">
      <c r="A12" s="7" t="s">
        <v>57</v>
      </c>
      <c r="B12" s="8">
        <v>60</v>
      </c>
      <c r="C12" s="8">
        <v>228407.54000000004</v>
      </c>
      <c r="D12" s="9">
        <v>0.64432004926911002</v>
      </c>
    </row>
    <row r="13" spans="1:4">
      <c r="A13" s="7" t="s">
        <v>224</v>
      </c>
      <c r="B13" s="8">
        <v>4</v>
      </c>
      <c r="C13" s="8">
        <v>14435.989999999998</v>
      </c>
      <c r="D13" s="9">
        <v>4.0722814089448958E-2</v>
      </c>
    </row>
    <row r="14" spans="1:4">
      <c r="A14" s="7" t="s">
        <v>69</v>
      </c>
      <c r="B14" s="8">
        <v>7</v>
      </c>
      <c r="C14" s="8">
        <v>30228.799999999999</v>
      </c>
      <c r="D14" s="9">
        <v>8.5273112723625796E-2</v>
      </c>
    </row>
    <row r="15" spans="1:4">
      <c r="A15" s="7" t="s">
        <v>445</v>
      </c>
      <c r="B15" s="8"/>
      <c r="C15" s="8"/>
      <c r="D15" s="9">
        <v>0</v>
      </c>
    </row>
    <row r="16" spans="1:4">
      <c r="A16" s="7" t="s">
        <v>446</v>
      </c>
      <c r="B16" s="8">
        <v>126</v>
      </c>
      <c r="C16" s="8">
        <v>354493.92000000016</v>
      </c>
      <c r="D16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8D57-019A-4DDE-94E0-6843801B1D84}">
  <dimension ref="A3:D8"/>
  <sheetViews>
    <sheetView tabSelected="1" workbookViewId="0"/>
  </sheetViews>
  <sheetFormatPr defaultRowHeight="14"/>
  <cols>
    <col min="1" max="1" width="12.08203125" style="3" bestFit="1" customWidth="1"/>
    <col min="2" max="2" width="5.33203125" style="3" bestFit="1" customWidth="1"/>
    <col min="3" max="3" width="12.33203125" style="3" bestFit="1" customWidth="1"/>
    <col min="4" max="4" width="13.4140625" style="3" bestFit="1" customWidth="1"/>
    <col min="5" max="16384" width="8.6640625" style="3"/>
  </cols>
  <sheetData>
    <row r="3" spans="1:4">
      <c r="A3" s="13" t="s">
        <v>444</v>
      </c>
      <c r="B3" s="3" t="s">
        <v>457</v>
      </c>
      <c r="C3" s="3" t="s">
        <v>461</v>
      </c>
      <c r="D3" s="3" t="s">
        <v>449</v>
      </c>
    </row>
    <row r="4" spans="1:4">
      <c r="A4" s="14" t="s">
        <v>458</v>
      </c>
      <c r="B4" s="15">
        <v>4</v>
      </c>
      <c r="C4" s="15">
        <v>24659.040000000001</v>
      </c>
      <c r="D4" s="16">
        <v>6.9561249456690261E-2</v>
      </c>
    </row>
    <row r="5" spans="1:4">
      <c r="A5" s="14" t="s">
        <v>459</v>
      </c>
      <c r="B5" s="15">
        <v>89</v>
      </c>
      <c r="C5" s="15">
        <v>209727.71000000002</v>
      </c>
      <c r="D5" s="16">
        <v>0.59162568994131137</v>
      </c>
    </row>
    <row r="6" spans="1:4">
      <c r="A6" s="14" t="s">
        <v>460</v>
      </c>
      <c r="B6" s="15">
        <v>33</v>
      </c>
      <c r="C6" s="15">
        <v>120107.17</v>
      </c>
      <c r="D6" s="16">
        <v>0.33881306060199851</v>
      </c>
    </row>
    <row r="7" spans="1:4">
      <c r="A7" s="14" t="s">
        <v>446</v>
      </c>
      <c r="B7" s="15">
        <v>126</v>
      </c>
      <c r="C7" s="15">
        <v>354493.92</v>
      </c>
      <c r="D7" s="16">
        <v>1</v>
      </c>
    </row>
    <row r="8" spans="1:4">
      <c r="A8"/>
      <c r="B8"/>
      <c r="C8"/>
      <c r="D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8DEF-BCC3-4DC2-BAFB-897B50168741}">
  <dimension ref="A1:B12"/>
  <sheetViews>
    <sheetView workbookViewId="0">
      <selection activeCell="B1" sqref="B1"/>
    </sheetView>
  </sheetViews>
  <sheetFormatPr defaultRowHeight="14"/>
  <cols>
    <col min="1" max="1" width="12.08203125" style="3" bestFit="1" customWidth="1"/>
    <col min="2" max="2" width="12.33203125" style="3" bestFit="1" customWidth="1"/>
    <col min="3" max="16384" width="8.6640625" style="3"/>
  </cols>
  <sheetData>
    <row r="1" spans="1:2">
      <c r="A1" s="13" t="s">
        <v>454</v>
      </c>
      <c r="B1" s="3" t="s">
        <v>458</v>
      </c>
    </row>
    <row r="3" spans="1:2">
      <c r="A3" s="13" t="s">
        <v>444</v>
      </c>
      <c r="B3" s="3" t="s">
        <v>461</v>
      </c>
    </row>
    <row r="4" spans="1:2">
      <c r="A4" s="14" t="s">
        <v>133</v>
      </c>
      <c r="B4" s="15">
        <v>7062.5</v>
      </c>
    </row>
    <row r="5" spans="1:2">
      <c r="A5" s="14" t="s">
        <v>129</v>
      </c>
      <c r="B5" s="15">
        <v>12552.150000000001</v>
      </c>
    </row>
    <row r="6" spans="1:2">
      <c r="A6" s="14" t="s">
        <v>91</v>
      </c>
      <c r="B6" s="15">
        <v>5044.3900000000003</v>
      </c>
    </row>
    <row r="7" spans="1:2">
      <c r="A7" s="14" t="s">
        <v>446</v>
      </c>
      <c r="B7" s="15">
        <v>24659.040000000001</v>
      </c>
    </row>
    <row r="8" spans="1:2">
      <c r="A8"/>
      <c r="B8"/>
    </row>
    <row r="9" spans="1:2">
      <c r="A9"/>
      <c r="B9"/>
    </row>
    <row r="10" spans="1:2">
      <c r="A10"/>
      <c r="B10"/>
    </row>
    <row r="11" spans="1:2">
      <c r="A11"/>
      <c r="B11"/>
    </row>
    <row r="12" spans="1:2">
      <c r="A12"/>
      <c r="B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"/>
  <sheetViews>
    <sheetView workbookViewId="0">
      <selection sqref="A1:XFD1048576"/>
    </sheetView>
  </sheetViews>
  <sheetFormatPr defaultRowHeight="14"/>
  <cols>
    <col min="1" max="1" width="11.4140625" style="3" customWidth="1"/>
    <col min="2" max="2" width="14.6640625" style="3" customWidth="1"/>
    <col min="3" max="3" width="15.4140625" style="3" customWidth="1"/>
    <col min="4" max="4" width="23.6640625" style="3" customWidth="1"/>
    <col min="5" max="5" width="10.58203125" style="3" customWidth="1"/>
    <col min="6" max="6" width="9.58203125" style="3" customWidth="1"/>
    <col min="7" max="7" width="8.6640625" style="3" customWidth="1"/>
    <col min="8" max="8" width="15.58203125" style="3" customWidth="1"/>
    <col min="9" max="9" width="12.4140625" style="3" customWidth="1"/>
    <col min="10" max="10" width="10.6640625" style="3" customWidth="1"/>
    <col min="11" max="11" width="13.6640625" style="3" customWidth="1"/>
    <col min="12" max="12" width="18.6640625" style="3" customWidth="1"/>
    <col min="13" max="13" width="8.58203125" style="3" customWidth="1"/>
    <col min="14" max="16384" width="8.6640625" style="3"/>
  </cols>
  <sheetData>
    <row r="1" spans="1:13">
      <c r="A1" s="1" t="s">
        <v>30</v>
      </c>
      <c r="B1" s="1" t="s">
        <v>31</v>
      </c>
      <c r="C1" s="1" t="s">
        <v>32</v>
      </c>
      <c r="D1" s="1" t="s">
        <v>33</v>
      </c>
      <c r="E1" s="1" t="s">
        <v>357</v>
      </c>
      <c r="F1" s="1" t="s">
        <v>35</v>
      </c>
      <c r="G1" s="1" t="s">
        <v>358</v>
      </c>
      <c r="H1" s="1" t="s">
        <v>359</v>
      </c>
      <c r="I1" s="2" t="s">
        <v>360</v>
      </c>
      <c r="J1" s="2" t="s">
        <v>38</v>
      </c>
      <c r="K1" s="1" t="s">
        <v>361</v>
      </c>
      <c r="L1" s="2" t="s">
        <v>44</v>
      </c>
      <c r="M1" s="1" t="s">
        <v>362</v>
      </c>
    </row>
    <row r="2" spans="1:13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>
        <v>44469</v>
      </c>
      <c r="I2" s="3">
        <v>80000</v>
      </c>
      <c r="J2" s="3">
        <v>38.46</v>
      </c>
      <c r="K2" s="3" t="s">
        <v>363</v>
      </c>
      <c r="L2" s="3">
        <v>185</v>
      </c>
      <c r="M2" s="3" t="s">
        <v>364</v>
      </c>
    </row>
    <row r="3" spans="1:13">
      <c r="A3" s="3" t="s">
        <v>59</v>
      </c>
      <c r="B3" s="3" t="s">
        <v>60</v>
      </c>
      <c r="C3" s="3" t="s">
        <v>52</v>
      </c>
      <c r="D3" s="3" t="s">
        <v>61</v>
      </c>
      <c r="E3" s="3" t="s">
        <v>62</v>
      </c>
      <c r="F3" s="3" t="s">
        <v>55</v>
      </c>
      <c r="G3" s="3">
        <v>43596</v>
      </c>
      <c r="I3" s="3">
        <v>55000</v>
      </c>
      <c r="J3" s="3">
        <v>26.44</v>
      </c>
      <c r="K3" s="3" t="s">
        <v>363</v>
      </c>
      <c r="L3" s="3">
        <v>185</v>
      </c>
      <c r="M3" s="3" t="s">
        <v>365</v>
      </c>
    </row>
    <row r="4" spans="1:13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55</v>
      </c>
      <c r="G4" s="3">
        <v>45698</v>
      </c>
      <c r="I4" s="3">
        <v>105000</v>
      </c>
      <c r="J4" s="3">
        <v>50.48</v>
      </c>
      <c r="K4" s="3" t="s">
        <v>363</v>
      </c>
      <c r="L4" s="3">
        <v>185</v>
      </c>
      <c r="M4" s="3" t="s">
        <v>366</v>
      </c>
    </row>
    <row r="5" spans="1:13">
      <c r="A5" s="3" t="s">
        <v>70</v>
      </c>
      <c r="B5" s="3" t="s">
        <v>71</v>
      </c>
      <c r="C5" s="3" t="s">
        <v>65</v>
      </c>
      <c r="D5" s="3" t="s">
        <v>72</v>
      </c>
      <c r="E5" s="3" t="s">
        <v>62</v>
      </c>
      <c r="F5" s="3" t="s">
        <v>55</v>
      </c>
      <c r="G5" s="3">
        <v>44859</v>
      </c>
      <c r="I5" s="3">
        <v>87000</v>
      </c>
      <c r="J5" s="3">
        <v>41.83</v>
      </c>
      <c r="K5" s="3" t="s">
        <v>363</v>
      </c>
      <c r="L5" s="3">
        <v>185</v>
      </c>
      <c r="M5" s="3" t="s">
        <v>365</v>
      </c>
    </row>
    <row r="6" spans="1:13">
      <c r="A6" s="3" t="s">
        <v>73</v>
      </c>
      <c r="B6" s="3" t="s">
        <v>74</v>
      </c>
      <c r="C6" s="3" t="s">
        <v>52</v>
      </c>
      <c r="D6" s="3" t="s">
        <v>53</v>
      </c>
      <c r="E6" s="3" t="s">
        <v>62</v>
      </c>
      <c r="F6" s="3" t="s">
        <v>55</v>
      </c>
      <c r="G6" s="3">
        <v>43862</v>
      </c>
      <c r="I6" s="3">
        <v>97000</v>
      </c>
      <c r="J6" s="3">
        <v>46.63</v>
      </c>
      <c r="K6" s="3" t="s">
        <v>367</v>
      </c>
      <c r="L6" s="3">
        <v>310</v>
      </c>
      <c r="M6" s="3" t="s">
        <v>368</v>
      </c>
    </row>
    <row r="7" spans="1:13">
      <c r="A7" s="3" t="s">
        <v>75</v>
      </c>
      <c r="B7" s="3" t="s">
        <v>76</v>
      </c>
      <c r="C7" s="3" t="s">
        <v>65</v>
      </c>
      <c r="D7" s="3" t="s">
        <v>66</v>
      </c>
      <c r="E7" s="3" t="s">
        <v>77</v>
      </c>
      <c r="F7" s="3" t="s">
        <v>55</v>
      </c>
      <c r="G7" s="3">
        <v>45662</v>
      </c>
      <c r="I7" s="3">
        <v>67000</v>
      </c>
      <c r="J7" s="3">
        <v>32.21</v>
      </c>
      <c r="K7" s="3" t="s">
        <v>367</v>
      </c>
      <c r="L7" s="3">
        <v>310</v>
      </c>
      <c r="M7" s="3" t="s">
        <v>364</v>
      </c>
    </row>
    <row r="8" spans="1:13">
      <c r="A8" s="3" t="s">
        <v>78</v>
      </c>
      <c r="B8" s="3" t="s">
        <v>79</v>
      </c>
      <c r="C8" s="3" t="s">
        <v>80</v>
      </c>
      <c r="D8" s="3" t="s">
        <v>81</v>
      </c>
      <c r="E8" s="3" t="s">
        <v>67</v>
      </c>
      <c r="F8" s="3" t="s">
        <v>55</v>
      </c>
      <c r="G8" s="3">
        <v>43750</v>
      </c>
      <c r="I8" s="3">
        <v>57000</v>
      </c>
      <c r="J8" s="3">
        <v>27.4</v>
      </c>
      <c r="K8" s="3" t="s">
        <v>369</v>
      </c>
      <c r="L8" s="3">
        <v>0</v>
      </c>
      <c r="M8" s="3" t="s">
        <v>365</v>
      </c>
    </row>
    <row r="9" spans="1:13">
      <c r="A9" s="3" t="s">
        <v>82</v>
      </c>
      <c r="B9" s="3" t="s">
        <v>83</v>
      </c>
      <c r="C9" s="3" t="s">
        <v>52</v>
      </c>
      <c r="D9" s="3" t="s">
        <v>53</v>
      </c>
      <c r="E9" s="3" t="s">
        <v>84</v>
      </c>
      <c r="F9" s="3" t="s">
        <v>55</v>
      </c>
      <c r="G9" s="3">
        <v>45022</v>
      </c>
      <c r="I9" s="3">
        <v>87000</v>
      </c>
      <c r="J9" s="3">
        <v>41.83</v>
      </c>
      <c r="K9" s="3" t="s">
        <v>367</v>
      </c>
      <c r="L9" s="3">
        <v>310</v>
      </c>
      <c r="M9" s="3" t="s">
        <v>370</v>
      </c>
    </row>
    <row r="10" spans="1:13">
      <c r="A10" s="3" t="s">
        <v>86</v>
      </c>
      <c r="B10" s="3" t="s">
        <v>87</v>
      </c>
      <c r="C10" s="3" t="s">
        <v>80</v>
      </c>
      <c r="D10" s="3" t="s">
        <v>88</v>
      </c>
      <c r="E10" s="3" t="s">
        <v>54</v>
      </c>
      <c r="F10" s="3" t="s">
        <v>55</v>
      </c>
      <c r="G10" s="3">
        <v>43758</v>
      </c>
      <c r="I10" s="3">
        <v>129000</v>
      </c>
      <c r="J10" s="3">
        <v>62.02</v>
      </c>
      <c r="K10" s="3" t="s">
        <v>369</v>
      </c>
      <c r="L10" s="3">
        <v>0</v>
      </c>
      <c r="M10" s="3" t="s">
        <v>365</v>
      </c>
    </row>
    <row r="11" spans="1:13">
      <c r="A11" s="3" t="s">
        <v>89</v>
      </c>
      <c r="B11" s="3" t="s">
        <v>90</v>
      </c>
      <c r="C11" s="3" t="s">
        <v>91</v>
      </c>
      <c r="D11" s="3" t="s">
        <v>92</v>
      </c>
      <c r="E11" s="3" t="s">
        <v>77</v>
      </c>
      <c r="F11" s="3" t="s">
        <v>55</v>
      </c>
      <c r="G11" s="3">
        <v>45020</v>
      </c>
      <c r="I11" s="3">
        <v>86000</v>
      </c>
      <c r="J11" s="3">
        <v>41.35</v>
      </c>
      <c r="K11" s="3" t="s">
        <v>369</v>
      </c>
      <c r="L11" s="3">
        <v>0</v>
      </c>
      <c r="M11" s="3" t="s">
        <v>368</v>
      </c>
    </row>
    <row r="12" spans="1:13">
      <c r="A12" s="3" t="s">
        <v>94</v>
      </c>
      <c r="B12" s="3" t="s">
        <v>95</v>
      </c>
      <c r="C12" s="3" t="s">
        <v>80</v>
      </c>
      <c r="D12" s="3" t="s">
        <v>88</v>
      </c>
      <c r="E12" s="3" t="s">
        <v>67</v>
      </c>
      <c r="F12" s="3" t="s">
        <v>55</v>
      </c>
      <c r="G12" s="3">
        <v>43597</v>
      </c>
      <c r="I12" s="3">
        <v>92000</v>
      </c>
      <c r="J12" s="3">
        <v>44.23</v>
      </c>
      <c r="K12" s="3" t="s">
        <v>367</v>
      </c>
      <c r="L12" s="3">
        <v>310</v>
      </c>
      <c r="M12" s="3" t="s">
        <v>370</v>
      </c>
    </row>
    <row r="13" spans="1:13">
      <c r="A13" s="3" t="s">
        <v>96</v>
      </c>
      <c r="B13" s="3" t="s">
        <v>97</v>
      </c>
      <c r="C13" s="3" t="s">
        <v>80</v>
      </c>
      <c r="D13" s="3" t="s">
        <v>88</v>
      </c>
      <c r="E13" s="3" t="s">
        <v>77</v>
      </c>
      <c r="F13" s="3" t="s">
        <v>55</v>
      </c>
      <c r="G13" s="3">
        <v>45086</v>
      </c>
      <c r="I13" s="3">
        <v>110000</v>
      </c>
      <c r="J13" s="3">
        <v>52.88</v>
      </c>
      <c r="K13" s="3" t="s">
        <v>363</v>
      </c>
      <c r="L13" s="3">
        <v>185</v>
      </c>
      <c r="M13" s="3" t="s">
        <v>370</v>
      </c>
    </row>
    <row r="14" spans="1:13">
      <c r="A14" s="3" t="s">
        <v>98</v>
      </c>
      <c r="B14" s="3" t="s">
        <v>99</v>
      </c>
      <c r="C14" s="3" t="s">
        <v>100</v>
      </c>
      <c r="D14" s="3" t="s">
        <v>101</v>
      </c>
      <c r="E14" s="3" t="s">
        <v>102</v>
      </c>
      <c r="F14" s="3" t="s">
        <v>55</v>
      </c>
      <c r="G14" s="3">
        <v>45220</v>
      </c>
      <c r="I14" s="3">
        <v>126000</v>
      </c>
      <c r="J14" s="3">
        <v>60.58</v>
      </c>
      <c r="K14" s="3" t="s">
        <v>367</v>
      </c>
      <c r="L14" s="3">
        <v>310</v>
      </c>
      <c r="M14" s="3" t="s">
        <v>370</v>
      </c>
    </row>
    <row r="15" spans="1:13">
      <c r="A15" s="3" t="s">
        <v>106</v>
      </c>
      <c r="B15" s="3" t="s">
        <v>107</v>
      </c>
      <c r="C15" s="3" t="s">
        <v>108</v>
      </c>
      <c r="D15" s="3" t="s">
        <v>109</v>
      </c>
      <c r="E15" s="3" t="s">
        <v>110</v>
      </c>
      <c r="F15" s="3" t="s">
        <v>55</v>
      </c>
      <c r="G15" s="3">
        <v>43915</v>
      </c>
      <c r="I15" s="3">
        <v>71000</v>
      </c>
      <c r="J15" s="3">
        <v>34.130000000000003</v>
      </c>
      <c r="K15" s="3" t="s">
        <v>369</v>
      </c>
      <c r="L15" s="3">
        <v>0</v>
      </c>
      <c r="M15" s="3" t="s">
        <v>365</v>
      </c>
    </row>
    <row r="16" spans="1:13">
      <c r="A16" s="3" t="s">
        <v>111</v>
      </c>
      <c r="B16" s="3" t="s">
        <v>112</v>
      </c>
      <c r="C16" s="3" t="s">
        <v>52</v>
      </c>
      <c r="D16" s="3" t="s">
        <v>113</v>
      </c>
      <c r="E16" s="3" t="s">
        <v>62</v>
      </c>
      <c r="F16" s="3" t="s">
        <v>55</v>
      </c>
      <c r="G16" s="3">
        <v>45383</v>
      </c>
      <c r="I16" s="3">
        <v>119000</v>
      </c>
      <c r="J16" s="3">
        <v>57.21</v>
      </c>
      <c r="K16" s="3" t="s">
        <v>367</v>
      </c>
      <c r="L16" s="3">
        <v>310</v>
      </c>
      <c r="M16" s="3" t="s">
        <v>368</v>
      </c>
    </row>
    <row r="17" spans="1:13">
      <c r="A17" s="3" t="s">
        <v>115</v>
      </c>
      <c r="B17" s="3" t="s">
        <v>116</v>
      </c>
      <c r="C17" s="3" t="s">
        <v>52</v>
      </c>
      <c r="D17" s="3" t="s">
        <v>61</v>
      </c>
      <c r="E17" s="3" t="s">
        <v>117</v>
      </c>
      <c r="F17" s="3" t="s">
        <v>55</v>
      </c>
      <c r="G17" s="3">
        <v>44558</v>
      </c>
      <c r="I17" s="3">
        <v>95000</v>
      </c>
      <c r="J17" s="3">
        <v>45.67</v>
      </c>
      <c r="K17" s="3" t="s">
        <v>363</v>
      </c>
      <c r="L17" s="3">
        <v>185</v>
      </c>
      <c r="M17" s="3" t="s">
        <v>370</v>
      </c>
    </row>
    <row r="18" spans="1:13">
      <c r="A18" s="3" t="s">
        <v>118</v>
      </c>
      <c r="B18" s="3" t="s">
        <v>119</v>
      </c>
      <c r="C18" s="3" t="s">
        <v>108</v>
      </c>
      <c r="D18" s="3" t="s">
        <v>109</v>
      </c>
      <c r="E18" s="3" t="s">
        <v>54</v>
      </c>
      <c r="F18" s="3" t="s">
        <v>55</v>
      </c>
      <c r="G18" s="3">
        <v>45516</v>
      </c>
      <c r="I18" s="3">
        <v>74000</v>
      </c>
      <c r="J18" s="3">
        <v>35.58</v>
      </c>
      <c r="K18" s="3" t="s">
        <v>369</v>
      </c>
      <c r="L18" s="3">
        <v>0</v>
      </c>
      <c r="M18" s="3" t="s">
        <v>364</v>
      </c>
    </row>
    <row r="19" spans="1:13">
      <c r="A19" s="3" t="s">
        <v>120</v>
      </c>
      <c r="B19" s="3" t="s">
        <v>121</v>
      </c>
      <c r="C19" s="3" t="s">
        <v>91</v>
      </c>
      <c r="D19" s="3" t="s">
        <v>92</v>
      </c>
      <c r="E19" s="3" t="s">
        <v>122</v>
      </c>
      <c r="F19" s="3" t="s">
        <v>55</v>
      </c>
      <c r="G19" s="3">
        <v>44127</v>
      </c>
      <c r="I19" s="3">
        <v>121000</v>
      </c>
      <c r="J19" s="3">
        <v>58.17</v>
      </c>
      <c r="K19" s="3" t="s">
        <v>369</v>
      </c>
      <c r="L19" s="3">
        <v>0</v>
      </c>
      <c r="M19" s="3" t="s">
        <v>364</v>
      </c>
    </row>
    <row r="20" spans="1:13">
      <c r="A20" s="3" t="s">
        <v>123</v>
      </c>
      <c r="B20" s="3" t="s">
        <v>124</v>
      </c>
      <c r="C20" s="3" t="s">
        <v>108</v>
      </c>
      <c r="D20" s="3" t="s">
        <v>109</v>
      </c>
      <c r="E20" s="3" t="s">
        <v>84</v>
      </c>
      <c r="F20" s="3" t="s">
        <v>55</v>
      </c>
      <c r="G20" s="3">
        <v>44952</v>
      </c>
      <c r="I20" s="3">
        <v>91000</v>
      </c>
      <c r="J20" s="3">
        <v>43.75</v>
      </c>
      <c r="K20" s="3" t="s">
        <v>363</v>
      </c>
      <c r="L20" s="3">
        <v>185</v>
      </c>
      <c r="M20" s="3" t="s">
        <v>364</v>
      </c>
    </row>
    <row r="21" spans="1:13">
      <c r="A21" s="3" t="s">
        <v>125</v>
      </c>
      <c r="B21" s="3" t="s">
        <v>126</v>
      </c>
      <c r="C21" s="3" t="s">
        <v>52</v>
      </c>
      <c r="D21" s="3" t="s">
        <v>53</v>
      </c>
      <c r="E21" s="3" t="s">
        <v>77</v>
      </c>
      <c r="F21" s="3" t="s">
        <v>55</v>
      </c>
      <c r="G21" s="3">
        <v>43749</v>
      </c>
      <c r="I21" s="3">
        <v>120000</v>
      </c>
      <c r="J21" s="3">
        <v>57.69</v>
      </c>
      <c r="K21" s="3" t="s">
        <v>363</v>
      </c>
      <c r="L21" s="3">
        <v>185</v>
      </c>
      <c r="M21" s="3" t="s">
        <v>365</v>
      </c>
    </row>
    <row r="22" spans="1:13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117</v>
      </c>
      <c r="F22" s="3" t="s">
        <v>55</v>
      </c>
      <c r="G22" s="3">
        <v>45199</v>
      </c>
      <c r="I22" s="3">
        <v>79000</v>
      </c>
      <c r="J22" s="3">
        <v>37.979999999999997</v>
      </c>
      <c r="K22" s="3" t="s">
        <v>369</v>
      </c>
      <c r="L22" s="3">
        <v>0</v>
      </c>
      <c r="M22" s="3" t="s">
        <v>365</v>
      </c>
    </row>
    <row r="23" spans="1:13">
      <c r="A23" s="3" t="s">
        <v>131</v>
      </c>
      <c r="B23" s="3" t="s">
        <v>132</v>
      </c>
      <c r="C23" s="3" t="s">
        <v>133</v>
      </c>
      <c r="D23" s="3" t="s">
        <v>134</v>
      </c>
      <c r="E23" s="3" t="s">
        <v>122</v>
      </c>
      <c r="F23" s="3" t="s">
        <v>55</v>
      </c>
      <c r="G23" s="3">
        <v>45260</v>
      </c>
      <c r="I23" s="3">
        <v>118000</v>
      </c>
      <c r="J23" s="3">
        <v>56.73</v>
      </c>
      <c r="K23" s="3" t="s">
        <v>367</v>
      </c>
      <c r="L23" s="3">
        <v>310</v>
      </c>
      <c r="M23" s="3" t="s">
        <v>364</v>
      </c>
    </row>
    <row r="24" spans="1:13">
      <c r="A24" s="3" t="s">
        <v>135</v>
      </c>
      <c r="B24" s="3" t="s">
        <v>136</v>
      </c>
      <c r="C24" s="3" t="s">
        <v>52</v>
      </c>
      <c r="D24" s="3" t="s">
        <v>113</v>
      </c>
      <c r="E24" s="3" t="s">
        <v>110</v>
      </c>
      <c r="F24" s="3" t="s">
        <v>55</v>
      </c>
      <c r="G24" s="3">
        <v>45734</v>
      </c>
      <c r="I24" s="3">
        <v>81000</v>
      </c>
      <c r="J24" s="3">
        <v>38.94</v>
      </c>
      <c r="K24" s="3" t="s">
        <v>369</v>
      </c>
      <c r="L24" s="3">
        <v>0</v>
      </c>
      <c r="M24" s="3" t="s">
        <v>365</v>
      </c>
    </row>
    <row r="25" spans="1:13">
      <c r="A25" s="3" t="s">
        <v>137</v>
      </c>
      <c r="B25" s="3" t="s">
        <v>138</v>
      </c>
      <c r="C25" s="3" t="s">
        <v>65</v>
      </c>
      <c r="D25" s="3" t="s">
        <v>72</v>
      </c>
      <c r="E25" s="3" t="s">
        <v>84</v>
      </c>
      <c r="F25" s="3" t="s">
        <v>55</v>
      </c>
      <c r="G25" s="3">
        <v>43594</v>
      </c>
      <c r="I25" s="3">
        <v>94000</v>
      </c>
      <c r="J25" s="3">
        <v>45.19</v>
      </c>
      <c r="K25" s="3" t="s">
        <v>363</v>
      </c>
      <c r="L25" s="3">
        <v>185</v>
      </c>
      <c r="M25" s="3" t="s">
        <v>368</v>
      </c>
    </row>
    <row r="26" spans="1:13">
      <c r="A26" s="3" t="s">
        <v>139</v>
      </c>
      <c r="B26" s="3" t="s">
        <v>140</v>
      </c>
      <c r="C26" s="3" t="s">
        <v>108</v>
      </c>
      <c r="D26" s="3" t="s">
        <v>109</v>
      </c>
      <c r="E26" s="3" t="s">
        <v>117</v>
      </c>
      <c r="F26" s="3" t="s">
        <v>55</v>
      </c>
      <c r="G26" s="3">
        <v>44007</v>
      </c>
      <c r="I26" s="3">
        <v>125000</v>
      </c>
      <c r="J26" s="3">
        <v>60.1</v>
      </c>
      <c r="K26" s="3" t="s">
        <v>369</v>
      </c>
      <c r="L26" s="3">
        <v>0</v>
      </c>
      <c r="M26" s="3" t="s">
        <v>366</v>
      </c>
    </row>
    <row r="27" spans="1:13">
      <c r="A27" s="3" t="s">
        <v>142</v>
      </c>
      <c r="B27" s="3" t="s">
        <v>143</v>
      </c>
      <c r="C27" s="3" t="s">
        <v>108</v>
      </c>
      <c r="D27" s="3" t="s">
        <v>144</v>
      </c>
      <c r="E27" s="3" t="s">
        <v>67</v>
      </c>
      <c r="F27" s="3" t="s">
        <v>55</v>
      </c>
      <c r="G27" s="3">
        <v>43852</v>
      </c>
      <c r="I27" s="3">
        <v>64000</v>
      </c>
      <c r="J27" s="3">
        <v>30.77</v>
      </c>
      <c r="K27" s="3" t="s">
        <v>369</v>
      </c>
      <c r="L27" s="3">
        <v>0</v>
      </c>
      <c r="M27" s="3" t="s">
        <v>366</v>
      </c>
    </row>
    <row r="28" spans="1:13">
      <c r="A28" s="3" t="s">
        <v>145</v>
      </c>
      <c r="B28" s="3" t="s">
        <v>146</v>
      </c>
      <c r="C28" s="3" t="s">
        <v>133</v>
      </c>
      <c r="D28" s="3" t="s">
        <v>147</v>
      </c>
      <c r="E28" s="3" t="s">
        <v>110</v>
      </c>
      <c r="F28" s="3" t="s">
        <v>55</v>
      </c>
      <c r="G28" s="3">
        <v>43869</v>
      </c>
      <c r="I28" s="3">
        <v>59000</v>
      </c>
      <c r="J28" s="3">
        <v>28.37</v>
      </c>
      <c r="K28" s="3" t="s">
        <v>367</v>
      </c>
      <c r="L28" s="3">
        <v>310</v>
      </c>
      <c r="M28" s="3" t="s">
        <v>370</v>
      </c>
    </row>
    <row r="29" spans="1:13">
      <c r="A29" s="3" t="s">
        <v>148</v>
      </c>
      <c r="B29" s="3" t="s">
        <v>149</v>
      </c>
      <c r="C29" s="3" t="s">
        <v>91</v>
      </c>
      <c r="D29" s="3" t="s">
        <v>92</v>
      </c>
      <c r="E29" s="3" t="s">
        <v>117</v>
      </c>
      <c r="F29" s="3" t="s">
        <v>55</v>
      </c>
      <c r="G29" s="3">
        <v>45303</v>
      </c>
      <c r="I29" s="3">
        <v>69000</v>
      </c>
      <c r="J29" s="3">
        <v>33.17</v>
      </c>
      <c r="K29" s="3" t="s">
        <v>367</v>
      </c>
      <c r="L29" s="3">
        <v>310</v>
      </c>
      <c r="M29" s="3" t="s">
        <v>365</v>
      </c>
    </row>
    <row r="30" spans="1:13">
      <c r="A30" s="3" t="s">
        <v>150</v>
      </c>
      <c r="B30" s="3" t="s">
        <v>136</v>
      </c>
      <c r="C30" s="3" t="s">
        <v>91</v>
      </c>
      <c r="D30" s="3" t="s">
        <v>92</v>
      </c>
      <c r="E30" s="3" t="s">
        <v>77</v>
      </c>
      <c r="F30" s="3" t="s">
        <v>55</v>
      </c>
      <c r="G30" s="3">
        <v>45720</v>
      </c>
      <c r="I30" s="3">
        <v>64000</v>
      </c>
      <c r="J30" s="3">
        <v>30.77</v>
      </c>
      <c r="K30" s="3" t="s">
        <v>363</v>
      </c>
      <c r="L30" s="3">
        <v>185</v>
      </c>
      <c r="M30" s="3" t="s">
        <v>368</v>
      </c>
    </row>
    <row r="31" spans="1:13">
      <c r="A31" s="3" t="s">
        <v>151</v>
      </c>
      <c r="B31" s="3" t="s">
        <v>152</v>
      </c>
      <c r="C31" s="3" t="s">
        <v>91</v>
      </c>
      <c r="D31" s="3" t="s">
        <v>92</v>
      </c>
      <c r="E31" s="3" t="s">
        <v>62</v>
      </c>
      <c r="F31" s="3" t="s">
        <v>55</v>
      </c>
      <c r="G31" s="3">
        <v>45455</v>
      </c>
      <c r="I31" s="3">
        <v>113000</v>
      </c>
      <c r="J31" s="3">
        <v>54.33</v>
      </c>
      <c r="K31" s="3" t="s">
        <v>363</v>
      </c>
      <c r="L31" s="3">
        <v>185</v>
      </c>
      <c r="M31" s="3" t="s">
        <v>366</v>
      </c>
    </row>
    <row r="32" spans="1:13">
      <c r="A32" s="3" t="s">
        <v>153</v>
      </c>
      <c r="B32" s="3" t="s">
        <v>154</v>
      </c>
      <c r="C32" s="3" t="s">
        <v>133</v>
      </c>
      <c r="D32" s="3" t="s">
        <v>155</v>
      </c>
      <c r="E32" s="3" t="s">
        <v>62</v>
      </c>
      <c r="F32" s="3" t="s">
        <v>55</v>
      </c>
      <c r="G32" s="3">
        <v>44552</v>
      </c>
      <c r="I32" s="3">
        <v>110000</v>
      </c>
      <c r="J32" s="3">
        <v>52.88</v>
      </c>
      <c r="K32" s="3" t="s">
        <v>367</v>
      </c>
      <c r="L32" s="3">
        <v>310</v>
      </c>
      <c r="M32" s="3" t="s">
        <v>366</v>
      </c>
    </row>
    <row r="33" spans="1:13">
      <c r="A33" s="3" t="s">
        <v>156</v>
      </c>
      <c r="B33" s="3" t="s">
        <v>157</v>
      </c>
      <c r="C33" s="3" t="s">
        <v>108</v>
      </c>
      <c r="D33" s="3" t="s">
        <v>109</v>
      </c>
      <c r="E33" s="3" t="s">
        <v>67</v>
      </c>
      <c r="F33" s="3" t="s">
        <v>55</v>
      </c>
      <c r="G33" s="3">
        <v>44681</v>
      </c>
      <c r="I33" s="3">
        <v>79000</v>
      </c>
      <c r="J33" s="3">
        <v>37.979999999999997</v>
      </c>
      <c r="K33" s="3" t="s">
        <v>363</v>
      </c>
      <c r="L33" s="3">
        <v>185</v>
      </c>
      <c r="M33" s="3" t="s">
        <v>368</v>
      </c>
    </row>
    <row r="34" spans="1:13">
      <c r="A34" s="3" t="s">
        <v>158</v>
      </c>
      <c r="B34" s="3" t="s">
        <v>159</v>
      </c>
      <c r="C34" s="3" t="s">
        <v>65</v>
      </c>
      <c r="D34" s="3" t="s">
        <v>66</v>
      </c>
      <c r="E34" s="3" t="s">
        <v>122</v>
      </c>
      <c r="F34" s="3" t="s">
        <v>55</v>
      </c>
      <c r="G34" s="3">
        <v>43700</v>
      </c>
      <c r="I34" s="3">
        <v>58000</v>
      </c>
      <c r="J34" s="3">
        <v>27.88</v>
      </c>
      <c r="K34" s="3" t="s">
        <v>369</v>
      </c>
      <c r="L34" s="3">
        <v>0</v>
      </c>
      <c r="M34" s="3" t="s">
        <v>366</v>
      </c>
    </row>
    <row r="35" spans="1:13">
      <c r="A35" s="3" t="s">
        <v>160</v>
      </c>
      <c r="B35" s="3" t="s">
        <v>161</v>
      </c>
      <c r="C35" s="3" t="s">
        <v>129</v>
      </c>
      <c r="D35" s="3" t="s">
        <v>162</v>
      </c>
      <c r="E35" s="3" t="s">
        <v>117</v>
      </c>
      <c r="F35" s="3" t="s">
        <v>55</v>
      </c>
      <c r="G35" s="3">
        <v>43794</v>
      </c>
      <c r="I35" s="3">
        <v>75000</v>
      </c>
      <c r="J35" s="3">
        <v>36.06</v>
      </c>
      <c r="K35" s="3" t="s">
        <v>363</v>
      </c>
      <c r="L35" s="3">
        <v>185</v>
      </c>
      <c r="M35" s="3" t="s">
        <v>368</v>
      </c>
    </row>
    <row r="36" spans="1:13">
      <c r="A36" s="3" t="s">
        <v>163</v>
      </c>
      <c r="B36" s="3" t="s">
        <v>164</v>
      </c>
      <c r="C36" s="3" t="s">
        <v>91</v>
      </c>
      <c r="D36" s="3" t="s">
        <v>165</v>
      </c>
      <c r="E36" s="3" t="s">
        <v>84</v>
      </c>
      <c r="F36" s="3" t="s">
        <v>55</v>
      </c>
      <c r="G36" s="3">
        <v>45799</v>
      </c>
      <c r="I36" s="3">
        <v>83000</v>
      </c>
      <c r="J36" s="3">
        <v>39.9</v>
      </c>
      <c r="K36" s="3" t="s">
        <v>369</v>
      </c>
      <c r="L36" s="3">
        <v>0</v>
      </c>
      <c r="M36" s="3" t="s">
        <v>368</v>
      </c>
    </row>
    <row r="37" spans="1:13">
      <c r="A37" s="3" t="s">
        <v>166</v>
      </c>
      <c r="B37" s="3" t="s">
        <v>167</v>
      </c>
      <c r="C37" s="3" t="s">
        <v>52</v>
      </c>
      <c r="D37" s="3" t="s">
        <v>113</v>
      </c>
      <c r="E37" s="3" t="s">
        <v>102</v>
      </c>
      <c r="F37" s="3" t="s">
        <v>55</v>
      </c>
      <c r="G37" s="3">
        <v>45781</v>
      </c>
      <c r="I37" s="3">
        <v>118000</v>
      </c>
      <c r="J37" s="3">
        <v>56.73</v>
      </c>
      <c r="K37" s="3" t="s">
        <v>367</v>
      </c>
      <c r="L37" s="3">
        <v>310</v>
      </c>
      <c r="M37" s="3" t="s">
        <v>370</v>
      </c>
    </row>
    <row r="38" spans="1:13">
      <c r="A38" s="3" t="s">
        <v>168</v>
      </c>
      <c r="B38" s="3" t="s">
        <v>169</v>
      </c>
      <c r="C38" s="3" t="s">
        <v>80</v>
      </c>
      <c r="D38" s="3" t="s">
        <v>88</v>
      </c>
      <c r="E38" s="3" t="s">
        <v>54</v>
      </c>
      <c r="F38" s="3" t="s">
        <v>55</v>
      </c>
      <c r="G38" s="3">
        <v>45087</v>
      </c>
      <c r="I38" s="3">
        <v>68000</v>
      </c>
      <c r="J38" s="3">
        <v>32.69</v>
      </c>
      <c r="K38" s="3" t="s">
        <v>369</v>
      </c>
      <c r="L38" s="3">
        <v>0</v>
      </c>
      <c r="M38" s="3" t="s">
        <v>370</v>
      </c>
    </row>
    <row r="39" spans="1:13">
      <c r="A39" s="3" t="s">
        <v>170</v>
      </c>
      <c r="B39" s="3" t="s">
        <v>171</v>
      </c>
      <c r="C39" s="3" t="s">
        <v>52</v>
      </c>
      <c r="D39" s="3" t="s">
        <v>53</v>
      </c>
      <c r="E39" s="3" t="s">
        <v>77</v>
      </c>
      <c r="F39" s="3" t="s">
        <v>55</v>
      </c>
      <c r="G39" s="3">
        <v>45772</v>
      </c>
      <c r="I39" s="3">
        <v>64000</v>
      </c>
      <c r="J39" s="3">
        <v>30.77</v>
      </c>
      <c r="K39" s="3" t="s">
        <v>363</v>
      </c>
      <c r="L39" s="3">
        <v>185</v>
      </c>
      <c r="M39" s="3" t="s">
        <v>368</v>
      </c>
    </row>
    <row r="40" spans="1:13">
      <c r="A40" s="3" t="s">
        <v>172</v>
      </c>
      <c r="B40" s="3" t="s">
        <v>173</v>
      </c>
      <c r="C40" s="3" t="s">
        <v>100</v>
      </c>
      <c r="D40" s="3" t="s">
        <v>174</v>
      </c>
      <c r="E40" s="3" t="s">
        <v>122</v>
      </c>
      <c r="F40" s="3" t="s">
        <v>55</v>
      </c>
      <c r="G40" s="3">
        <v>43747</v>
      </c>
      <c r="I40" s="3">
        <v>83000</v>
      </c>
      <c r="J40" s="3">
        <v>39.9</v>
      </c>
      <c r="K40" s="3" t="s">
        <v>367</v>
      </c>
      <c r="L40" s="3">
        <v>310</v>
      </c>
      <c r="M40" s="3" t="s">
        <v>370</v>
      </c>
    </row>
    <row r="41" spans="1:13">
      <c r="A41" s="3" t="s">
        <v>175</v>
      </c>
      <c r="B41" s="3" t="s">
        <v>176</v>
      </c>
      <c r="C41" s="3" t="s">
        <v>100</v>
      </c>
      <c r="D41" s="3" t="s">
        <v>101</v>
      </c>
      <c r="E41" s="3" t="s">
        <v>117</v>
      </c>
      <c r="F41" s="3" t="s">
        <v>55</v>
      </c>
      <c r="G41" s="3">
        <v>43498</v>
      </c>
      <c r="I41" s="3">
        <v>122000</v>
      </c>
      <c r="J41" s="3">
        <v>58.65</v>
      </c>
      <c r="K41" s="3" t="s">
        <v>367</v>
      </c>
      <c r="L41" s="3">
        <v>310</v>
      </c>
      <c r="M41" s="3" t="s">
        <v>364</v>
      </c>
    </row>
    <row r="42" spans="1:13">
      <c r="A42" s="3" t="s">
        <v>177</v>
      </c>
      <c r="B42" s="3" t="s">
        <v>178</v>
      </c>
      <c r="C42" s="3" t="s">
        <v>52</v>
      </c>
      <c r="D42" s="3" t="s">
        <v>53</v>
      </c>
      <c r="E42" s="3" t="s">
        <v>117</v>
      </c>
      <c r="F42" s="3" t="s">
        <v>55</v>
      </c>
      <c r="G42" s="3">
        <v>44102</v>
      </c>
      <c r="I42" s="3">
        <v>86000</v>
      </c>
      <c r="J42" s="3">
        <v>41.35</v>
      </c>
      <c r="K42" s="3" t="s">
        <v>367</v>
      </c>
      <c r="L42" s="3">
        <v>310</v>
      </c>
      <c r="M42" s="3" t="s">
        <v>368</v>
      </c>
    </row>
    <row r="43" spans="1:13">
      <c r="A43" s="3" t="s">
        <v>179</v>
      </c>
      <c r="B43" s="3" t="s">
        <v>180</v>
      </c>
      <c r="C43" s="3" t="s">
        <v>80</v>
      </c>
      <c r="D43" s="3" t="s">
        <v>88</v>
      </c>
      <c r="E43" s="3" t="s">
        <v>54</v>
      </c>
      <c r="F43" s="3" t="s">
        <v>55</v>
      </c>
      <c r="G43" s="3">
        <v>45536</v>
      </c>
      <c r="I43" s="3">
        <v>114000</v>
      </c>
      <c r="J43" s="3">
        <v>54.81</v>
      </c>
      <c r="K43" s="3" t="s">
        <v>367</v>
      </c>
      <c r="L43" s="3">
        <v>310</v>
      </c>
      <c r="M43" s="3" t="s">
        <v>364</v>
      </c>
    </row>
    <row r="44" spans="1:13">
      <c r="A44" s="3" t="s">
        <v>181</v>
      </c>
      <c r="B44" s="3" t="s">
        <v>182</v>
      </c>
      <c r="C44" s="3" t="s">
        <v>133</v>
      </c>
      <c r="D44" s="3" t="s">
        <v>147</v>
      </c>
      <c r="E44" s="3" t="s">
        <v>110</v>
      </c>
      <c r="F44" s="3" t="s">
        <v>55</v>
      </c>
      <c r="G44" s="3">
        <v>43480</v>
      </c>
      <c r="I44" s="3">
        <v>94000</v>
      </c>
      <c r="J44" s="3">
        <v>45.19</v>
      </c>
      <c r="K44" s="3" t="s">
        <v>363</v>
      </c>
      <c r="L44" s="3">
        <v>185</v>
      </c>
      <c r="M44" s="3" t="s">
        <v>370</v>
      </c>
    </row>
    <row r="45" spans="1:13">
      <c r="A45" s="3" t="s">
        <v>183</v>
      </c>
      <c r="B45" s="3" t="s">
        <v>184</v>
      </c>
      <c r="C45" s="3" t="s">
        <v>108</v>
      </c>
      <c r="D45" s="3" t="s">
        <v>185</v>
      </c>
      <c r="E45" s="3" t="s">
        <v>62</v>
      </c>
      <c r="F45" s="3" t="s">
        <v>55</v>
      </c>
      <c r="G45" s="3">
        <v>45763</v>
      </c>
      <c r="I45" s="3">
        <v>53000</v>
      </c>
      <c r="J45" s="3">
        <v>25.48</v>
      </c>
      <c r="K45" s="3" t="s">
        <v>363</v>
      </c>
      <c r="L45" s="3">
        <v>185</v>
      </c>
      <c r="M45" s="3" t="s">
        <v>364</v>
      </c>
    </row>
    <row r="46" spans="1:13">
      <c r="A46" s="3" t="s">
        <v>186</v>
      </c>
      <c r="B46" s="3" t="s">
        <v>187</v>
      </c>
      <c r="C46" s="3" t="s">
        <v>129</v>
      </c>
      <c r="D46" s="3" t="s">
        <v>188</v>
      </c>
      <c r="E46" s="3" t="s">
        <v>110</v>
      </c>
      <c r="F46" s="3" t="s">
        <v>55</v>
      </c>
      <c r="G46" s="3">
        <v>44978</v>
      </c>
      <c r="I46" s="3">
        <v>126000</v>
      </c>
      <c r="J46" s="3">
        <v>60.58</v>
      </c>
      <c r="K46" s="3" t="s">
        <v>369</v>
      </c>
      <c r="L46" s="3">
        <v>0</v>
      </c>
      <c r="M46" s="3" t="s">
        <v>365</v>
      </c>
    </row>
    <row r="47" spans="1:13">
      <c r="A47" s="3" t="s">
        <v>190</v>
      </c>
      <c r="B47" s="3" t="s">
        <v>191</v>
      </c>
      <c r="C47" s="3" t="s">
        <v>65</v>
      </c>
      <c r="D47" s="3" t="s">
        <v>192</v>
      </c>
      <c r="E47" s="3" t="s">
        <v>122</v>
      </c>
      <c r="F47" s="3" t="s">
        <v>55</v>
      </c>
      <c r="G47" s="3">
        <v>43629</v>
      </c>
      <c r="I47" s="3">
        <v>97000</v>
      </c>
      <c r="J47" s="3">
        <v>46.63</v>
      </c>
      <c r="K47" s="3" t="s">
        <v>363</v>
      </c>
      <c r="L47" s="3">
        <v>185</v>
      </c>
      <c r="M47" s="3" t="s">
        <v>365</v>
      </c>
    </row>
    <row r="48" spans="1:13">
      <c r="A48" s="3" t="s">
        <v>193</v>
      </c>
      <c r="B48" s="3" t="s">
        <v>194</v>
      </c>
      <c r="C48" s="3" t="s">
        <v>80</v>
      </c>
      <c r="D48" s="3" t="s">
        <v>81</v>
      </c>
      <c r="E48" s="3" t="s">
        <v>62</v>
      </c>
      <c r="F48" s="3" t="s">
        <v>55</v>
      </c>
      <c r="G48" s="3">
        <v>44099</v>
      </c>
      <c r="I48" s="3">
        <v>82000</v>
      </c>
      <c r="J48" s="3">
        <v>39.42</v>
      </c>
      <c r="K48" s="3" t="s">
        <v>363</v>
      </c>
      <c r="L48" s="3">
        <v>185</v>
      </c>
      <c r="M48" s="3" t="s">
        <v>365</v>
      </c>
    </row>
    <row r="49" spans="1:13">
      <c r="A49" s="3" t="s">
        <v>195</v>
      </c>
      <c r="B49" s="3" t="s">
        <v>196</v>
      </c>
      <c r="C49" s="3" t="s">
        <v>129</v>
      </c>
      <c r="D49" s="3" t="s">
        <v>188</v>
      </c>
      <c r="E49" s="3" t="s">
        <v>122</v>
      </c>
      <c r="F49" s="3" t="s">
        <v>55</v>
      </c>
      <c r="G49" s="3">
        <v>45152</v>
      </c>
      <c r="I49" s="3">
        <v>83000</v>
      </c>
      <c r="J49" s="3">
        <v>39.9</v>
      </c>
      <c r="K49" s="3" t="s">
        <v>367</v>
      </c>
      <c r="L49" s="3">
        <v>310</v>
      </c>
      <c r="M49" s="3" t="s">
        <v>365</v>
      </c>
    </row>
    <row r="50" spans="1:13">
      <c r="A50" s="3" t="s">
        <v>197</v>
      </c>
      <c r="B50" s="3" t="s">
        <v>198</v>
      </c>
      <c r="C50" s="3" t="s">
        <v>133</v>
      </c>
      <c r="D50" s="3" t="s">
        <v>155</v>
      </c>
      <c r="E50" s="3" t="s">
        <v>77</v>
      </c>
      <c r="F50" s="3" t="s">
        <v>55</v>
      </c>
      <c r="G50" s="3">
        <v>44377</v>
      </c>
      <c r="I50" s="3">
        <v>77000</v>
      </c>
      <c r="J50" s="3">
        <v>37.020000000000003</v>
      </c>
      <c r="K50" s="3" t="s">
        <v>367</v>
      </c>
      <c r="L50" s="3">
        <v>310</v>
      </c>
      <c r="M50" s="3" t="s">
        <v>370</v>
      </c>
    </row>
    <row r="51" spans="1:13">
      <c r="A51" s="3" t="s">
        <v>199</v>
      </c>
      <c r="B51" s="3" t="s">
        <v>200</v>
      </c>
      <c r="C51" s="3" t="s">
        <v>91</v>
      </c>
      <c r="D51" s="3" t="s">
        <v>92</v>
      </c>
      <c r="E51" s="3" t="s">
        <v>110</v>
      </c>
      <c r="F51" s="3" t="s">
        <v>55</v>
      </c>
      <c r="G51" s="3">
        <v>44257</v>
      </c>
      <c r="I51" s="3">
        <v>103000</v>
      </c>
      <c r="J51" s="3">
        <v>49.52</v>
      </c>
      <c r="K51" s="3" t="s">
        <v>367</v>
      </c>
      <c r="L51" s="3">
        <v>310</v>
      </c>
      <c r="M51" s="3" t="s">
        <v>370</v>
      </c>
    </row>
    <row r="52" spans="1:13">
      <c r="A52" s="3" t="s">
        <v>201</v>
      </c>
      <c r="B52" s="3" t="s">
        <v>202</v>
      </c>
      <c r="C52" s="3" t="s">
        <v>100</v>
      </c>
      <c r="D52" s="3" t="s">
        <v>203</v>
      </c>
      <c r="E52" s="3" t="s">
        <v>117</v>
      </c>
      <c r="F52" s="3" t="s">
        <v>55</v>
      </c>
      <c r="G52" s="3">
        <v>45103</v>
      </c>
      <c r="I52" s="3">
        <v>120000</v>
      </c>
      <c r="J52" s="3">
        <v>57.69</v>
      </c>
      <c r="K52" s="3" t="s">
        <v>367</v>
      </c>
      <c r="L52" s="3">
        <v>310</v>
      </c>
      <c r="M52" s="3" t="s">
        <v>364</v>
      </c>
    </row>
    <row r="53" spans="1:13">
      <c r="A53" s="3" t="s">
        <v>204</v>
      </c>
      <c r="B53" s="3" t="s">
        <v>205</v>
      </c>
      <c r="C53" s="3" t="s">
        <v>100</v>
      </c>
      <c r="D53" s="3" t="s">
        <v>174</v>
      </c>
      <c r="E53" s="3" t="s">
        <v>102</v>
      </c>
      <c r="F53" s="3" t="s">
        <v>55</v>
      </c>
      <c r="G53" s="3">
        <v>44553</v>
      </c>
      <c r="I53" s="3">
        <v>56000</v>
      </c>
      <c r="J53" s="3">
        <v>26.92</v>
      </c>
      <c r="K53" s="3" t="s">
        <v>363</v>
      </c>
      <c r="L53" s="3">
        <v>185</v>
      </c>
      <c r="M53" s="3" t="s">
        <v>368</v>
      </c>
    </row>
    <row r="54" spans="1:13">
      <c r="A54" s="3" t="s">
        <v>206</v>
      </c>
      <c r="B54" s="3" t="s">
        <v>207</v>
      </c>
      <c r="C54" s="3" t="s">
        <v>80</v>
      </c>
      <c r="D54" s="3" t="s">
        <v>208</v>
      </c>
      <c r="E54" s="3" t="s">
        <v>102</v>
      </c>
      <c r="F54" s="3" t="s">
        <v>55</v>
      </c>
      <c r="G54" s="3">
        <v>45560</v>
      </c>
      <c r="I54" s="3">
        <v>66000</v>
      </c>
      <c r="J54" s="3">
        <v>31.73</v>
      </c>
      <c r="K54" s="3" t="s">
        <v>367</v>
      </c>
      <c r="L54" s="3">
        <v>310</v>
      </c>
      <c r="M54" s="3" t="s">
        <v>368</v>
      </c>
    </row>
    <row r="55" spans="1:13">
      <c r="A55" s="3" t="s">
        <v>209</v>
      </c>
      <c r="B55" s="3" t="s">
        <v>210</v>
      </c>
      <c r="C55" s="3" t="s">
        <v>65</v>
      </c>
      <c r="D55" s="3" t="s">
        <v>66</v>
      </c>
      <c r="E55" s="3" t="s">
        <v>62</v>
      </c>
      <c r="F55" s="3" t="s">
        <v>55</v>
      </c>
      <c r="G55" s="3">
        <v>43472</v>
      </c>
      <c r="I55" s="3">
        <v>118000</v>
      </c>
      <c r="J55" s="3">
        <v>56.73</v>
      </c>
      <c r="K55" s="3" t="s">
        <v>369</v>
      </c>
      <c r="L55" s="3">
        <v>0</v>
      </c>
      <c r="M55" s="3" t="s">
        <v>365</v>
      </c>
    </row>
    <row r="56" spans="1:13">
      <c r="A56" s="3" t="s">
        <v>211</v>
      </c>
      <c r="B56" s="3" t="s">
        <v>212</v>
      </c>
      <c r="C56" s="3" t="s">
        <v>52</v>
      </c>
      <c r="D56" s="3" t="s">
        <v>61</v>
      </c>
      <c r="E56" s="3" t="s">
        <v>122</v>
      </c>
      <c r="F56" s="3" t="s">
        <v>55</v>
      </c>
      <c r="G56" s="3">
        <v>44751</v>
      </c>
      <c r="I56" s="3">
        <v>67000</v>
      </c>
      <c r="J56" s="3">
        <v>32.21</v>
      </c>
      <c r="K56" s="3" t="s">
        <v>369</v>
      </c>
      <c r="L56" s="3">
        <v>0</v>
      </c>
      <c r="M56" s="3" t="s">
        <v>370</v>
      </c>
    </row>
    <row r="57" spans="1:13">
      <c r="A57" s="3" t="s">
        <v>213</v>
      </c>
      <c r="B57" s="3" t="s">
        <v>214</v>
      </c>
      <c r="C57" s="3" t="s">
        <v>133</v>
      </c>
      <c r="D57" s="3" t="s">
        <v>147</v>
      </c>
      <c r="E57" s="3" t="s">
        <v>62</v>
      </c>
      <c r="F57" s="3" t="s">
        <v>55</v>
      </c>
      <c r="G57" s="3">
        <v>44677</v>
      </c>
      <c r="I57" s="3">
        <v>122000</v>
      </c>
      <c r="J57" s="3">
        <v>58.65</v>
      </c>
      <c r="K57" s="3" t="s">
        <v>363</v>
      </c>
      <c r="L57" s="3">
        <v>185</v>
      </c>
      <c r="M57" s="3" t="s">
        <v>365</v>
      </c>
    </row>
    <row r="58" spans="1:13">
      <c r="A58" s="3" t="s">
        <v>215</v>
      </c>
      <c r="B58" s="3" t="s">
        <v>216</v>
      </c>
      <c r="C58" s="3" t="s">
        <v>133</v>
      </c>
      <c r="D58" s="3" t="s">
        <v>134</v>
      </c>
      <c r="E58" s="3" t="s">
        <v>217</v>
      </c>
      <c r="F58" s="3" t="s">
        <v>55</v>
      </c>
      <c r="G58" s="3">
        <v>45797</v>
      </c>
      <c r="I58" s="3">
        <v>90000</v>
      </c>
      <c r="J58" s="3">
        <v>43.27</v>
      </c>
      <c r="K58" s="3" t="s">
        <v>367</v>
      </c>
      <c r="L58" s="3">
        <v>310</v>
      </c>
      <c r="M58" s="3" t="s">
        <v>368</v>
      </c>
    </row>
    <row r="59" spans="1:13">
      <c r="A59" s="3" t="s">
        <v>218</v>
      </c>
      <c r="B59" s="3" t="s">
        <v>219</v>
      </c>
      <c r="C59" s="3" t="s">
        <v>100</v>
      </c>
      <c r="D59" s="3" t="s">
        <v>174</v>
      </c>
      <c r="E59" s="3" t="s">
        <v>62</v>
      </c>
      <c r="F59" s="3" t="s">
        <v>55</v>
      </c>
      <c r="G59" s="3">
        <v>45841</v>
      </c>
      <c r="I59" s="3">
        <v>129000</v>
      </c>
      <c r="J59" s="3">
        <v>62.02</v>
      </c>
      <c r="K59" s="3" t="s">
        <v>369</v>
      </c>
      <c r="L59" s="3">
        <v>0</v>
      </c>
      <c r="M59" s="3" t="s">
        <v>370</v>
      </c>
    </row>
    <row r="60" spans="1:13">
      <c r="A60" s="3" t="s">
        <v>220</v>
      </c>
      <c r="B60" s="3" t="s">
        <v>221</v>
      </c>
      <c r="C60" s="3" t="s">
        <v>108</v>
      </c>
      <c r="D60" s="3" t="s">
        <v>185</v>
      </c>
      <c r="E60" s="3" t="s">
        <v>67</v>
      </c>
      <c r="F60" s="3" t="s">
        <v>55</v>
      </c>
      <c r="G60" s="3">
        <v>45559</v>
      </c>
      <c r="I60" s="3">
        <v>112000</v>
      </c>
      <c r="J60" s="3">
        <v>53.85</v>
      </c>
      <c r="K60" s="3" t="s">
        <v>369</v>
      </c>
      <c r="L60" s="3">
        <v>0</v>
      </c>
      <c r="M60" s="3" t="s">
        <v>365</v>
      </c>
    </row>
    <row r="61" spans="1:13">
      <c r="A61" s="3" t="s">
        <v>222</v>
      </c>
      <c r="B61" s="3" t="s">
        <v>223</v>
      </c>
      <c r="C61" s="3" t="s">
        <v>100</v>
      </c>
      <c r="D61" s="3" t="s">
        <v>101</v>
      </c>
      <c r="E61" s="3" t="s">
        <v>102</v>
      </c>
      <c r="F61" s="3" t="s">
        <v>55</v>
      </c>
      <c r="G61" s="3">
        <v>44838</v>
      </c>
      <c r="I61" s="3">
        <v>63000</v>
      </c>
      <c r="J61" s="3">
        <v>30.29</v>
      </c>
      <c r="K61" s="3" t="s">
        <v>363</v>
      </c>
      <c r="L61" s="3">
        <v>185</v>
      </c>
      <c r="M61" s="3" t="s">
        <v>370</v>
      </c>
    </row>
    <row r="62" spans="1:13">
      <c r="A62" s="3" t="s">
        <v>225</v>
      </c>
      <c r="B62" s="3" t="s">
        <v>226</v>
      </c>
      <c r="C62" s="3" t="s">
        <v>91</v>
      </c>
      <c r="D62" s="3" t="s">
        <v>92</v>
      </c>
      <c r="E62" s="3" t="s">
        <v>110</v>
      </c>
      <c r="F62" s="3" t="s">
        <v>55</v>
      </c>
      <c r="G62" s="3">
        <v>43655</v>
      </c>
      <c r="I62" s="3">
        <v>83000</v>
      </c>
      <c r="J62" s="3">
        <v>39.9</v>
      </c>
      <c r="K62" s="3" t="s">
        <v>367</v>
      </c>
      <c r="L62" s="3">
        <v>310</v>
      </c>
      <c r="M62" s="3" t="s">
        <v>368</v>
      </c>
    </row>
    <row r="63" spans="1:13">
      <c r="A63" s="3" t="s">
        <v>227</v>
      </c>
      <c r="B63" s="3" t="s">
        <v>228</v>
      </c>
      <c r="C63" s="3" t="s">
        <v>108</v>
      </c>
      <c r="D63" s="3" t="s">
        <v>144</v>
      </c>
      <c r="E63" s="3" t="s">
        <v>102</v>
      </c>
      <c r="F63" s="3" t="s">
        <v>55</v>
      </c>
      <c r="G63" s="3">
        <v>44262</v>
      </c>
      <c r="I63" s="3">
        <v>101000</v>
      </c>
      <c r="J63" s="3">
        <v>48.56</v>
      </c>
      <c r="K63" s="3" t="s">
        <v>367</v>
      </c>
      <c r="L63" s="3">
        <v>310</v>
      </c>
      <c r="M63" s="3" t="s">
        <v>366</v>
      </c>
    </row>
    <row r="64" spans="1:13">
      <c r="A64" s="3" t="s">
        <v>229</v>
      </c>
      <c r="B64" s="3" t="s">
        <v>230</v>
      </c>
      <c r="C64" s="3" t="s">
        <v>65</v>
      </c>
      <c r="D64" s="3" t="s">
        <v>72</v>
      </c>
      <c r="E64" s="3" t="s">
        <v>62</v>
      </c>
      <c r="F64" s="3" t="s">
        <v>55</v>
      </c>
      <c r="G64" s="3">
        <v>44362</v>
      </c>
      <c r="I64" s="3">
        <v>74000</v>
      </c>
      <c r="J64" s="3">
        <v>35.58</v>
      </c>
      <c r="K64" s="3" t="s">
        <v>369</v>
      </c>
      <c r="L64" s="3">
        <v>0</v>
      </c>
      <c r="M64" s="3" t="s">
        <v>368</v>
      </c>
    </row>
    <row r="65" spans="1:13">
      <c r="A65" s="3" t="s">
        <v>231</v>
      </c>
      <c r="B65" s="3" t="s">
        <v>232</v>
      </c>
      <c r="C65" s="3" t="s">
        <v>91</v>
      </c>
      <c r="D65" s="3" t="s">
        <v>92</v>
      </c>
      <c r="E65" s="3" t="s">
        <v>77</v>
      </c>
      <c r="F65" s="3" t="s">
        <v>55</v>
      </c>
      <c r="G65" s="3">
        <v>44012</v>
      </c>
      <c r="I65" s="3">
        <v>111000</v>
      </c>
      <c r="J65" s="3">
        <v>53.37</v>
      </c>
      <c r="K65" s="3" t="s">
        <v>369</v>
      </c>
      <c r="L65" s="3">
        <v>0</v>
      </c>
      <c r="M65" s="3" t="s">
        <v>368</v>
      </c>
    </row>
    <row r="66" spans="1:13">
      <c r="A66" s="3" t="s">
        <v>233</v>
      </c>
      <c r="B66" s="3" t="s">
        <v>182</v>
      </c>
      <c r="C66" s="3" t="s">
        <v>80</v>
      </c>
      <c r="D66" s="3" t="s">
        <v>208</v>
      </c>
      <c r="E66" s="3" t="s">
        <v>102</v>
      </c>
      <c r="F66" s="3" t="s">
        <v>55</v>
      </c>
      <c r="G66" s="3">
        <v>45533</v>
      </c>
      <c r="I66" s="3">
        <v>106000</v>
      </c>
      <c r="J66" s="3">
        <v>50.96</v>
      </c>
      <c r="K66" s="3" t="s">
        <v>369</v>
      </c>
      <c r="L66" s="3">
        <v>0</v>
      </c>
      <c r="M66" s="3" t="s">
        <v>366</v>
      </c>
    </row>
    <row r="67" spans="1:13">
      <c r="A67" s="3" t="s">
        <v>234</v>
      </c>
      <c r="B67" s="3" t="s">
        <v>235</v>
      </c>
      <c r="C67" s="3" t="s">
        <v>108</v>
      </c>
      <c r="D67" s="3" t="s">
        <v>144</v>
      </c>
      <c r="E67" s="3" t="s">
        <v>54</v>
      </c>
      <c r="F67" s="3" t="s">
        <v>55</v>
      </c>
      <c r="G67" s="3">
        <v>44478</v>
      </c>
      <c r="I67" s="3">
        <v>87000</v>
      </c>
      <c r="J67" s="3">
        <v>41.83</v>
      </c>
      <c r="K67" s="3" t="s">
        <v>369</v>
      </c>
      <c r="L67" s="3">
        <v>0</v>
      </c>
      <c r="M67" s="3" t="s">
        <v>366</v>
      </c>
    </row>
    <row r="68" spans="1:13">
      <c r="A68" s="3" t="s">
        <v>236</v>
      </c>
      <c r="B68" s="3" t="s">
        <v>237</v>
      </c>
      <c r="C68" s="3" t="s">
        <v>100</v>
      </c>
      <c r="D68" s="3" t="s">
        <v>203</v>
      </c>
      <c r="E68" s="3" t="s">
        <v>84</v>
      </c>
      <c r="F68" s="3" t="s">
        <v>55</v>
      </c>
      <c r="G68" s="3">
        <v>44636</v>
      </c>
      <c r="I68" s="3">
        <v>82000</v>
      </c>
      <c r="J68" s="3">
        <v>39.42</v>
      </c>
      <c r="K68" s="3" t="s">
        <v>367</v>
      </c>
      <c r="L68" s="3">
        <v>310</v>
      </c>
      <c r="M68" s="3" t="s">
        <v>370</v>
      </c>
    </row>
    <row r="69" spans="1:13">
      <c r="A69" s="3" t="s">
        <v>238</v>
      </c>
      <c r="B69" s="3" t="s">
        <v>239</v>
      </c>
      <c r="C69" s="3" t="s">
        <v>52</v>
      </c>
      <c r="D69" s="3" t="s">
        <v>53</v>
      </c>
      <c r="E69" s="3" t="s">
        <v>217</v>
      </c>
      <c r="F69" s="3" t="s">
        <v>55</v>
      </c>
      <c r="G69" s="3">
        <v>44413</v>
      </c>
      <c r="I69" s="3">
        <v>101000</v>
      </c>
      <c r="J69" s="3">
        <v>48.56</v>
      </c>
      <c r="K69" s="3" t="s">
        <v>369</v>
      </c>
      <c r="L69" s="3">
        <v>0</v>
      </c>
      <c r="M69" s="3" t="s">
        <v>365</v>
      </c>
    </row>
    <row r="70" spans="1:13">
      <c r="A70" s="3" t="s">
        <v>240</v>
      </c>
      <c r="B70" s="3" t="s">
        <v>241</v>
      </c>
      <c r="C70" s="3" t="s">
        <v>52</v>
      </c>
      <c r="D70" s="3" t="s">
        <v>113</v>
      </c>
      <c r="E70" s="3" t="s">
        <v>62</v>
      </c>
      <c r="F70" s="3" t="s">
        <v>55</v>
      </c>
      <c r="G70" s="3">
        <v>44821</v>
      </c>
      <c r="I70" s="3">
        <v>121000</v>
      </c>
      <c r="J70" s="3">
        <v>58.17</v>
      </c>
      <c r="K70" s="3" t="s">
        <v>367</v>
      </c>
      <c r="L70" s="3">
        <v>310</v>
      </c>
      <c r="M70" s="3" t="s">
        <v>366</v>
      </c>
    </row>
    <row r="71" spans="1:13">
      <c r="A71" s="3" t="s">
        <v>242</v>
      </c>
      <c r="B71" s="3" t="s">
        <v>243</v>
      </c>
      <c r="C71" s="3" t="s">
        <v>133</v>
      </c>
      <c r="D71" s="3" t="s">
        <v>147</v>
      </c>
      <c r="E71" s="3" t="s">
        <v>102</v>
      </c>
      <c r="F71" s="3" t="s">
        <v>55</v>
      </c>
      <c r="G71" s="3">
        <v>43546</v>
      </c>
      <c r="I71" s="3">
        <v>125000</v>
      </c>
      <c r="J71" s="3">
        <v>60.1</v>
      </c>
      <c r="K71" s="3" t="s">
        <v>367</v>
      </c>
      <c r="L71" s="3">
        <v>310</v>
      </c>
      <c r="M71" s="3" t="s">
        <v>366</v>
      </c>
    </row>
    <row r="72" spans="1:13">
      <c r="A72" s="3" t="s">
        <v>244</v>
      </c>
      <c r="B72" s="3" t="s">
        <v>245</v>
      </c>
      <c r="C72" s="3" t="s">
        <v>100</v>
      </c>
      <c r="D72" s="3" t="s">
        <v>203</v>
      </c>
      <c r="E72" s="3" t="s">
        <v>62</v>
      </c>
      <c r="F72" s="3" t="s">
        <v>55</v>
      </c>
      <c r="G72" s="3">
        <v>45670</v>
      </c>
      <c r="I72" s="3">
        <v>121000</v>
      </c>
      <c r="J72" s="3">
        <v>58.17</v>
      </c>
      <c r="K72" s="3" t="s">
        <v>369</v>
      </c>
      <c r="L72" s="3">
        <v>0</v>
      </c>
      <c r="M72" s="3" t="s">
        <v>365</v>
      </c>
    </row>
    <row r="73" spans="1:13">
      <c r="A73" s="3" t="s">
        <v>246</v>
      </c>
      <c r="B73" s="3" t="s">
        <v>247</v>
      </c>
      <c r="C73" s="3" t="s">
        <v>100</v>
      </c>
      <c r="D73" s="3" t="s">
        <v>203</v>
      </c>
      <c r="E73" s="3" t="s">
        <v>77</v>
      </c>
      <c r="F73" s="3" t="s">
        <v>55</v>
      </c>
      <c r="G73" s="3">
        <v>43584</v>
      </c>
      <c r="I73" s="3">
        <v>101000</v>
      </c>
      <c r="J73" s="3">
        <v>48.56</v>
      </c>
      <c r="K73" s="3" t="s">
        <v>367</v>
      </c>
      <c r="L73" s="3">
        <v>310</v>
      </c>
      <c r="M73" s="3" t="s">
        <v>366</v>
      </c>
    </row>
    <row r="74" spans="1:13">
      <c r="A74" s="3" t="s">
        <v>248</v>
      </c>
      <c r="B74" s="3" t="s">
        <v>249</v>
      </c>
      <c r="C74" s="3" t="s">
        <v>108</v>
      </c>
      <c r="D74" s="3" t="s">
        <v>109</v>
      </c>
      <c r="E74" s="3" t="s">
        <v>102</v>
      </c>
      <c r="F74" s="3" t="s">
        <v>55</v>
      </c>
      <c r="G74" s="3">
        <v>45653</v>
      </c>
      <c r="I74" s="3">
        <v>55000</v>
      </c>
      <c r="J74" s="3">
        <v>26.44</v>
      </c>
      <c r="K74" s="3" t="s">
        <v>367</v>
      </c>
      <c r="L74" s="3">
        <v>310</v>
      </c>
      <c r="M74" s="3" t="s">
        <v>368</v>
      </c>
    </row>
    <row r="75" spans="1:13">
      <c r="A75" s="3" t="s">
        <v>250</v>
      </c>
      <c r="B75" s="3" t="s">
        <v>251</v>
      </c>
      <c r="C75" s="3" t="s">
        <v>65</v>
      </c>
      <c r="D75" s="3" t="s">
        <v>72</v>
      </c>
      <c r="E75" s="3" t="s">
        <v>62</v>
      </c>
      <c r="F75" s="3" t="s">
        <v>55</v>
      </c>
      <c r="G75" s="3">
        <v>44021</v>
      </c>
      <c r="I75" s="3">
        <v>111000</v>
      </c>
      <c r="J75" s="3">
        <v>53.37</v>
      </c>
      <c r="K75" s="3" t="s">
        <v>363</v>
      </c>
      <c r="L75" s="3">
        <v>185</v>
      </c>
      <c r="M75" s="3" t="s">
        <v>364</v>
      </c>
    </row>
    <row r="76" spans="1:13">
      <c r="A76" s="3" t="s">
        <v>252</v>
      </c>
      <c r="B76" s="3" t="s">
        <v>253</v>
      </c>
      <c r="C76" s="3" t="s">
        <v>80</v>
      </c>
      <c r="D76" s="3" t="s">
        <v>88</v>
      </c>
      <c r="E76" s="3" t="s">
        <v>77</v>
      </c>
      <c r="F76" s="3" t="s">
        <v>55</v>
      </c>
      <c r="G76" s="3">
        <v>44804</v>
      </c>
      <c r="I76" s="3">
        <v>95000</v>
      </c>
      <c r="J76" s="3">
        <v>45.67</v>
      </c>
      <c r="K76" s="3" t="s">
        <v>367</v>
      </c>
      <c r="L76" s="3">
        <v>310</v>
      </c>
      <c r="M76" s="3" t="s">
        <v>370</v>
      </c>
    </row>
    <row r="77" spans="1:13">
      <c r="A77" s="3" t="s">
        <v>254</v>
      </c>
      <c r="B77" s="3" t="s">
        <v>255</v>
      </c>
      <c r="C77" s="3" t="s">
        <v>133</v>
      </c>
      <c r="D77" s="3" t="s">
        <v>147</v>
      </c>
      <c r="E77" s="3" t="s">
        <v>84</v>
      </c>
      <c r="F77" s="3" t="s">
        <v>55</v>
      </c>
      <c r="G77" s="3">
        <v>45392</v>
      </c>
      <c r="I77" s="3">
        <v>54000</v>
      </c>
      <c r="J77" s="3">
        <v>25.96</v>
      </c>
      <c r="K77" s="3" t="s">
        <v>369</v>
      </c>
      <c r="L77" s="3">
        <v>0</v>
      </c>
      <c r="M77" s="3" t="s">
        <v>368</v>
      </c>
    </row>
    <row r="78" spans="1:13">
      <c r="A78" s="3" t="s">
        <v>256</v>
      </c>
      <c r="B78" s="3" t="s">
        <v>257</v>
      </c>
      <c r="C78" s="3" t="s">
        <v>91</v>
      </c>
      <c r="D78" s="3" t="s">
        <v>258</v>
      </c>
      <c r="E78" s="3" t="s">
        <v>84</v>
      </c>
      <c r="F78" s="3" t="s">
        <v>55</v>
      </c>
      <c r="G78" s="3">
        <v>43630</v>
      </c>
      <c r="I78" s="3">
        <v>55000</v>
      </c>
      <c r="J78" s="3">
        <v>26.44</v>
      </c>
      <c r="K78" s="3" t="s">
        <v>363</v>
      </c>
      <c r="L78" s="3">
        <v>185</v>
      </c>
      <c r="M78" s="3" t="s">
        <v>365</v>
      </c>
    </row>
    <row r="79" spans="1:13">
      <c r="A79" s="3" t="s">
        <v>259</v>
      </c>
      <c r="B79" s="3" t="s">
        <v>260</v>
      </c>
      <c r="C79" s="3" t="s">
        <v>129</v>
      </c>
      <c r="D79" s="3" t="s">
        <v>162</v>
      </c>
      <c r="E79" s="3" t="s">
        <v>217</v>
      </c>
      <c r="F79" s="3" t="s">
        <v>55</v>
      </c>
      <c r="G79" s="3">
        <v>45405</v>
      </c>
      <c r="I79" s="3">
        <v>66000</v>
      </c>
      <c r="J79" s="3">
        <v>31.73</v>
      </c>
      <c r="K79" s="3" t="s">
        <v>369</v>
      </c>
      <c r="L79" s="3">
        <v>0</v>
      </c>
      <c r="M79" s="3" t="s">
        <v>365</v>
      </c>
    </row>
    <row r="80" spans="1:13">
      <c r="A80" s="3" t="s">
        <v>261</v>
      </c>
      <c r="B80" s="3" t="s">
        <v>262</v>
      </c>
      <c r="C80" s="3" t="s">
        <v>100</v>
      </c>
      <c r="D80" s="3" t="s">
        <v>203</v>
      </c>
      <c r="E80" s="3" t="s">
        <v>217</v>
      </c>
      <c r="F80" s="3" t="s">
        <v>55</v>
      </c>
      <c r="G80" s="3">
        <v>43935</v>
      </c>
      <c r="I80" s="3">
        <v>72000</v>
      </c>
      <c r="J80" s="3">
        <v>34.619999999999997</v>
      </c>
      <c r="K80" s="3" t="s">
        <v>367</v>
      </c>
      <c r="L80" s="3">
        <v>310</v>
      </c>
      <c r="M80" s="3" t="s">
        <v>364</v>
      </c>
    </row>
    <row r="81" spans="1:13">
      <c r="A81" s="3" t="s">
        <v>263</v>
      </c>
      <c r="B81" s="3" t="s">
        <v>264</v>
      </c>
      <c r="C81" s="3" t="s">
        <v>100</v>
      </c>
      <c r="D81" s="3" t="s">
        <v>101</v>
      </c>
      <c r="E81" s="3" t="s">
        <v>62</v>
      </c>
      <c r="F81" s="3" t="s">
        <v>55</v>
      </c>
      <c r="G81" s="3">
        <v>45090</v>
      </c>
      <c r="I81" s="3">
        <v>77000</v>
      </c>
      <c r="J81" s="3">
        <v>37.020000000000003</v>
      </c>
      <c r="K81" s="3" t="s">
        <v>363</v>
      </c>
      <c r="L81" s="3">
        <v>185</v>
      </c>
      <c r="M81" s="3" t="s">
        <v>368</v>
      </c>
    </row>
    <row r="82" spans="1:13">
      <c r="A82" s="3" t="s">
        <v>265</v>
      </c>
      <c r="B82" s="3" t="s">
        <v>266</v>
      </c>
      <c r="C82" s="3" t="s">
        <v>91</v>
      </c>
      <c r="D82" s="3" t="s">
        <v>92</v>
      </c>
      <c r="E82" s="3" t="s">
        <v>54</v>
      </c>
      <c r="F82" s="3" t="s">
        <v>55</v>
      </c>
      <c r="G82" s="3">
        <v>43961</v>
      </c>
      <c r="I82" s="3">
        <v>124000</v>
      </c>
      <c r="J82" s="3">
        <v>59.62</v>
      </c>
      <c r="K82" s="3" t="s">
        <v>363</v>
      </c>
      <c r="L82" s="3">
        <v>185</v>
      </c>
      <c r="M82" s="3" t="s">
        <v>370</v>
      </c>
    </row>
    <row r="83" spans="1:13">
      <c r="A83" s="3" t="s">
        <v>267</v>
      </c>
      <c r="B83" s="3" t="s">
        <v>268</v>
      </c>
      <c r="C83" s="3" t="s">
        <v>80</v>
      </c>
      <c r="D83" s="3" t="s">
        <v>88</v>
      </c>
      <c r="E83" s="3" t="s">
        <v>117</v>
      </c>
      <c r="F83" s="3" t="s">
        <v>55</v>
      </c>
      <c r="G83" s="3">
        <v>44863</v>
      </c>
      <c r="I83" s="3">
        <v>53000</v>
      </c>
      <c r="J83" s="3">
        <v>25.48</v>
      </c>
      <c r="K83" s="3" t="s">
        <v>367</v>
      </c>
      <c r="L83" s="3">
        <v>310</v>
      </c>
      <c r="M83" s="3" t="s">
        <v>366</v>
      </c>
    </row>
    <row r="84" spans="1:13">
      <c r="A84" s="3" t="s">
        <v>269</v>
      </c>
      <c r="B84" s="3" t="s">
        <v>270</v>
      </c>
      <c r="C84" s="3" t="s">
        <v>80</v>
      </c>
      <c r="D84" s="3" t="s">
        <v>81</v>
      </c>
      <c r="E84" s="3" t="s">
        <v>77</v>
      </c>
      <c r="F84" s="3" t="s">
        <v>55</v>
      </c>
      <c r="G84" s="3">
        <v>44092</v>
      </c>
      <c r="I84" s="3">
        <v>107000</v>
      </c>
      <c r="J84" s="3">
        <v>51.44</v>
      </c>
      <c r="K84" s="3" t="s">
        <v>363</v>
      </c>
      <c r="L84" s="3">
        <v>185</v>
      </c>
      <c r="M84" s="3" t="s">
        <v>368</v>
      </c>
    </row>
    <row r="85" spans="1:13">
      <c r="A85" s="3" t="s">
        <v>271</v>
      </c>
      <c r="B85" s="3" t="s">
        <v>272</v>
      </c>
      <c r="C85" s="3" t="s">
        <v>108</v>
      </c>
      <c r="D85" s="3" t="s">
        <v>144</v>
      </c>
      <c r="E85" s="3" t="s">
        <v>62</v>
      </c>
      <c r="F85" s="3" t="s">
        <v>55</v>
      </c>
      <c r="G85" s="3">
        <v>44565</v>
      </c>
      <c r="I85" s="3">
        <v>93000</v>
      </c>
      <c r="J85" s="3">
        <v>44.71</v>
      </c>
      <c r="K85" s="3" t="s">
        <v>363</v>
      </c>
      <c r="L85" s="3">
        <v>185</v>
      </c>
      <c r="M85" s="3" t="s">
        <v>364</v>
      </c>
    </row>
    <row r="86" spans="1:13">
      <c r="A86" s="3" t="s">
        <v>273</v>
      </c>
      <c r="B86" s="3" t="s">
        <v>274</v>
      </c>
      <c r="C86" s="3" t="s">
        <v>108</v>
      </c>
      <c r="D86" s="3" t="s">
        <v>109</v>
      </c>
      <c r="E86" s="3" t="s">
        <v>77</v>
      </c>
      <c r="F86" s="3" t="s">
        <v>55</v>
      </c>
      <c r="G86" s="3">
        <v>45800</v>
      </c>
      <c r="I86" s="3">
        <v>130000</v>
      </c>
      <c r="J86" s="3">
        <v>62.5</v>
      </c>
      <c r="K86" s="3" t="s">
        <v>369</v>
      </c>
      <c r="L86" s="3">
        <v>0</v>
      </c>
      <c r="M86" s="3" t="s">
        <v>366</v>
      </c>
    </row>
    <row r="87" spans="1:13">
      <c r="A87" s="3" t="s">
        <v>276</v>
      </c>
      <c r="B87" s="3" t="s">
        <v>277</v>
      </c>
      <c r="C87" s="3" t="s">
        <v>108</v>
      </c>
      <c r="D87" s="3" t="s">
        <v>144</v>
      </c>
      <c r="E87" s="3" t="s">
        <v>217</v>
      </c>
      <c r="F87" s="3" t="s">
        <v>55</v>
      </c>
      <c r="G87" s="3">
        <v>45463</v>
      </c>
      <c r="I87" s="3">
        <v>79000</v>
      </c>
      <c r="J87" s="3">
        <v>37.979999999999997</v>
      </c>
      <c r="K87" s="3" t="s">
        <v>367</v>
      </c>
      <c r="L87" s="3">
        <v>310</v>
      </c>
      <c r="M87" s="3" t="s">
        <v>370</v>
      </c>
    </row>
    <row r="88" spans="1:13">
      <c r="A88" s="3" t="s">
        <v>278</v>
      </c>
      <c r="B88" s="3" t="s">
        <v>279</v>
      </c>
      <c r="C88" s="3" t="s">
        <v>100</v>
      </c>
      <c r="D88" s="3" t="s">
        <v>101</v>
      </c>
      <c r="E88" s="3" t="s">
        <v>110</v>
      </c>
      <c r="F88" s="3" t="s">
        <v>55</v>
      </c>
      <c r="G88" s="3">
        <v>45582</v>
      </c>
      <c r="I88" s="3">
        <v>76000</v>
      </c>
      <c r="J88" s="3">
        <v>36.54</v>
      </c>
      <c r="K88" s="3" t="s">
        <v>363</v>
      </c>
      <c r="L88" s="3">
        <v>185</v>
      </c>
      <c r="M88" s="3" t="s">
        <v>365</v>
      </c>
    </row>
    <row r="89" spans="1:13">
      <c r="A89" s="3" t="s">
        <v>280</v>
      </c>
      <c r="B89" s="3" t="s">
        <v>281</v>
      </c>
      <c r="C89" s="3" t="s">
        <v>108</v>
      </c>
      <c r="D89" s="3" t="s">
        <v>185</v>
      </c>
      <c r="E89" s="3" t="s">
        <v>67</v>
      </c>
      <c r="F89" s="3" t="s">
        <v>55</v>
      </c>
      <c r="G89" s="3">
        <v>45416</v>
      </c>
      <c r="I89" s="3">
        <v>114000</v>
      </c>
      <c r="J89" s="3">
        <v>54.81</v>
      </c>
      <c r="K89" s="3" t="s">
        <v>367</v>
      </c>
      <c r="L89" s="3">
        <v>310</v>
      </c>
      <c r="M89" s="3" t="s">
        <v>364</v>
      </c>
    </row>
    <row r="90" spans="1:13">
      <c r="A90" s="3" t="s">
        <v>282</v>
      </c>
      <c r="B90" s="3" t="s">
        <v>283</v>
      </c>
      <c r="C90" s="3" t="s">
        <v>91</v>
      </c>
      <c r="D90" s="3" t="s">
        <v>165</v>
      </c>
      <c r="E90" s="3" t="s">
        <v>67</v>
      </c>
      <c r="F90" s="3" t="s">
        <v>55</v>
      </c>
      <c r="G90" s="3">
        <v>44720</v>
      </c>
      <c r="I90" s="3">
        <v>126000</v>
      </c>
      <c r="J90" s="3">
        <v>60.58</v>
      </c>
      <c r="K90" s="3" t="s">
        <v>367</v>
      </c>
      <c r="L90" s="3">
        <v>310</v>
      </c>
      <c r="M90" s="3" t="s">
        <v>366</v>
      </c>
    </row>
    <row r="91" spans="1:13">
      <c r="A91" s="3" t="s">
        <v>284</v>
      </c>
      <c r="B91" s="3" t="s">
        <v>285</v>
      </c>
      <c r="C91" s="3" t="s">
        <v>80</v>
      </c>
      <c r="D91" s="3" t="s">
        <v>208</v>
      </c>
      <c r="E91" s="3" t="s">
        <v>117</v>
      </c>
      <c r="F91" s="3" t="s">
        <v>55</v>
      </c>
      <c r="G91" s="3">
        <v>44820</v>
      </c>
      <c r="I91" s="3">
        <v>97000</v>
      </c>
      <c r="J91" s="3">
        <v>46.63</v>
      </c>
      <c r="K91" s="3" t="s">
        <v>369</v>
      </c>
      <c r="L91" s="3">
        <v>0</v>
      </c>
      <c r="M91" s="3" t="s">
        <v>366</v>
      </c>
    </row>
    <row r="92" spans="1:13">
      <c r="A92" s="3" t="s">
        <v>286</v>
      </c>
      <c r="B92" s="3" t="s">
        <v>287</v>
      </c>
      <c r="C92" s="3" t="s">
        <v>100</v>
      </c>
      <c r="D92" s="3" t="s">
        <v>174</v>
      </c>
      <c r="E92" s="3" t="s">
        <v>84</v>
      </c>
      <c r="F92" s="3" t="s">
        <v>55</v>
      </c>
      <c r="G92" s="3">
        <v>44254</v>
      </c>
      <c r="I92" s="3">
        <v>92000</v>
      </c>
      <c r="J92" s="3">
        <v>44.23</v>
      </c>
      <c r="K92" s="3" t="s">
        <v>363</v>
      </c>
      <c r="L92" s="3">
        <v>185</v>
      </c>
      <c r="M92" s="3" t="s">
        <v>368</v>
      </c>
    </row>
    <row r="93" spans="1:13">
      <c r="A93" s="3" t="s">
        <v>288</v>
      </c>
      <c r="B93" s="3" t="s">
        <v>289</v>
      </c>
      <c r="C93" s="3" t="s">
        <v>129</v>
      </c>
      <c r="D93" s="3" t="s">
        <v>162</v>
      </c>
      <c r="E93" s="3" t="s">
        <v>67</v>
      </c>
      <c r="F93" s="3" t="s">
        <v>55</v>
      </c>
      <c r="G93" s="3">
        <v>45449</v>
      </c>
      <c r="I93" s="3">
        <v>87000</v>
      </c>
      <c r="J93" s="3">
        <v>41.83</v>
      </c>
      <c r="K93" s="3" t="s">
        <v>369</v>
      </c>
      <c r="L93" s="3">
        <v>0</v>
      </c>
      <c r="M93" s="3" t="s">
        <v>368</v>
      </c>
    </row>
    <row r="94" spans="1:13">
      <c r="A94" s="3" t="s">
        <v>290</v>
      </c>
      <c r="B94" s="3" t="s">
        <v>291</v>
      </c>
      <c r="C94" s="3" t="s">
        <v>100</v>
      </c>
      <c r="D94" s="3" t="s">
        <v>174</v>
      </c>
      <c r="E94" s="3" t="s">
        <v>67</v>
      </c>
      <c r="F94" s="3" t="s">
        <v>55</v>
      </c>
      <c r="G94" s="3">
        <v>44679</v>
      </c>
      <c r="I94" s="3">
        <v>81000</v>
      </c>
      <c r="J94" s="3">
        <v>38.94</v>
      </c>
      <c r="K94" s="3" t="s">
        <v>367</v>
      </c>
      <c r="L94" s="3">
        <v>310</v>
      </c>
      <c r="M94" s="3" t="s">
        <v>365</v>
      </c>
    </row>
    <row r="95" spans="1:13">
      <c r="A95" s="3" t="s">
        <v>292</v>
      </c>
      <c r="B95" s="3" t="s">
        <v>293</v>
      </c>
      <c r="C95" s="3" t="s">
        <v>129</v>
      </c>
      <c r="D95" s="3" t="s">
        <v>130</v>
      </c>
      <c r="E95" s="3" t="s">
        <v>110</v>
      </c>
      <c r="F95" s="3" t="s">
        <v>55</v>
      </c>
      <c r="G95" s="3">
        <v>43689</v>
      </c>
      <c r="I95" s="3">
        <v>122000</v>
      </c>
      <c r="J95" s="3">
        <v>58.65</v>
      </c>
      <c r="K95" s="3" t="s">
        <v>367</v>
      </c>
      <c r="L95" s="3">
        <v>310</v>
      </c>
      <c r="M95" s="3" t="s">
        <v>365</v>
      </c>
    </row>
    <row r="96" spans="1:13">
      <c r="A96" s="3" t="s">
        <v>294</v>
      </c>
      <c r="B96" s="3" t="s">
        <v>295</v>
      </c>
      <c r="C96" s="3" t="s">
        <v>108</v>
      </c>
      <c r="D96" s="3" t="s">
        <v>109</v>
      </c>
      <c r="E96" s="3" t="s">
        <v>110</v>
      </c>
      <c r="F96" s="3" t="s">
        <v>55</v>
      </c>
      <c r="G96" s="3">
        <v>45817</v>
      </c>
      <c r="I96" s="3">
        <v>88000</v>
      </c>
      <c r="J96" s="3">
        <v>42.31</v>
      </c>
      <c r="K96" s="3" t="s">
        <v>367</v>
      </c>
      <c r="L96" s="3">
        <v>310</v>
      </c>
      <c r="M96" s="3" t="s">
        <v>366</v>
      </c>
    </row>
    <row r="97" spans="1:13">
      <c r="A97" s="3" t="s">
        <v>296</v>
      </c>
      <c r="B97" s="3" t="s">
        <v>297</v>
      </c>
      <c r="C97" s="3" t="s">
        <v>129</v>
      </c>
      <c r="D97" s="3" t="s">
        <v>162</v>
      </c>
      <c r="E97" s="3" t="s">
        <v>54</v>
      </c>
      <c r="F97" s="3" t="s">
        <v>55</v>
      </c>
      <c r="G97" s="3">
        <v>45422</v>
      </c>
      <c r="I97" s="3">
        <v>66000</v>
      </c>
      <c r="J97" s="3">
        <v>31.73</v>
      </c>
      <c r="K97" s="3" t="s">
        <v>363</v>
      </c>
      <c r="L97" s="3">
        <v>185</v>
      </c>
      <c r="M97" s="3" t="s">
        <v>366</v>
      </c>
    </row>
    <row r="98" spans="1:13">
      <c r="A98" s="3" t="s">
        <v>298</v>
      </c>
      <c r="B98" s="3" t="s">
        <v>299</v>
      </c>
      <c r="C98" s="3" t="s">
        <v>65</v>
      </c>
      <c r="D98" s="3" t="s">
        <v>72</v>
      </c>
      <c r="E98" s="3" t="s">
        <v>217</v>
      </c>
      <c r="F98" s="3" t="s">
        <v>55</v>
      </c>
      <c r="G98" s="3">
        <v>45771</v>
      </c>
      <c r="I98" s="3">
        <v>90000</v>
      </c>
      <c r="J98" s="3">
        <v>43.27</v>
      </c>
      <c r="K98" s="3" t="s">
        <v>363</v>
      </c>
      <c r="L98" s="3">
        <v>185</v>
      </c>
      <c r="M98" s="3" t="s">
        <v>365</v>
      </c>
    </row>
    <row r="99" spans="1:13">
      <c r="A99" s="3" t="s">
        <v>300</v>
      </c>
      <c r="B99" s="3" t="s">
        <v>301</v>
      </c>
      <c r="C99" s="3" t="s">
        <v>133</v>
      </c>
      <c r="D99" s="3" t="s">
        <v>134</v>
      </c>
      <c r="E99" s="3" t="s">
        <v>102</v>
      </c>
      <c r="F99" s="3" t="s">
        <v>55</v>
      </c>
      <c r="G99" s="3">
        <v>44390</v>
      </c>
      <c r="I99" s="3">
        <v>118000</v>
      </c>
      <c r="J99" s="3">
        <v>56.73</v>
      </c>
      <c r="K99" s="3" t="s">
        <v>367</v>
      </c>
      <c r="L99" s="3">
        <v>310</v>
      </c>
      <c r="M99" s="3" t="s">
        <v>366</v>
      </c>
    </row>
    <row r="100" spans="1:13">
      <c r="A100" s="3" t="s">
        <v>302</v>
      </c>
      <c r="B100" s="3" t="s">
        <v>303</v>
      </c>
      <c r="C100" s="3" t="s">
        <v>133</v>
      </c>
      <c r="D100" s="3" t="s">
        <v>147</v>
      </c>
      <c r="E100" s="3" t="s">
        <v>102</v>
      </c>
      <c r="F100" s="3" t="s">
        <v>55</v>
      </c>
      <c r="G100" s="3">
        <v>43712</v>
      </c>
      <c r="I100" s="3">
        <v>130000</v>
      </c>
      <c r="J100" s="3">
        <v>62.5</v>
      </c>
      <c r="K100" s="3" t="s">
        <v>369</v>
      </c>
      <c r="L100" s="3">
        <v>0</v>
      </c>
      <c r="M100" s="3" t="s">
        <v>364</v>
      </c>
    </row>
    <row r="101" spans="1:13">
      <c r="A101" s="3" t="s">
        <v>304</v>
      </c>
      <c r="B101" s="3" t="s">
        <v>305</v>
      </c>
      <c r="C101" s="3" t="s">
        <v>91</v>
      </c>
      <c r="D101" s="3" t="s">
        <v>165</v>
      </c>
      <c r="E101" s="3" t="s">
        <v>84</v>
      </c>
      <c r="F101" s="3" t="s">
        <v>55</v>
      </c>
      <c r="G101" s="3">
        <v>44109</v>
      </c>
      <c r="I101" s="3">
        <v>82000</v>
      </c>
      <c r="J101" s="3">
        <v>39.42</v>
      </c>
      <c r="K101" s="3" t="s">
        <v>363</v>
      </c>
      <c r="L101" s="3">
        <v>185</v>
      </c>
      <c r="M101" s="3" t="s">
        <v>368</v>
      </c>
    </row>
    <row r="102" spans="1:13">
      <c r="A102" s="3" t="s">
        <v>306</v>
      </c>
      <c r="B102" s="3" t="s">
        <v>307</v>
      </c>
      <c r="C102" s="3" t="s">
        <v>65</v>
      </c>
      <c r="D102" s="3" t="s">
        <v>192</v>
      </c>
      <c r="E102" s="3" t="s">
        <v>77</v>
      </c>
      <c r="F102" s="3" t="s">
        <v>55</v>
      </c>
      <c r="G102" s="3">
        <v>45390</v>
      </c>
      <c r="I102" s="3">
        <v>89000</v>
      </c>
      <c r="J102" s="3">
        <v>42.79</v>
      </c>
      <c r="K102" s="3" t="s">
        <v>363</v>
      </c>
      <c r="L102" s="3">
        <v>185</v>
      </c>
      <c r="M102" s="3" t="s">
        <v>365</v>
      </c>
    </row>
    <row r="103" spans="1:13">
      <c r="A103" s="3" t="s">
        <v>308</v>
      </c>
      <c r="B103" s="3" t="s">
        <v>309</v>
      </c>
      <c r="C103" s="3" t="s">
        <v>100</v>
      </c>
      <c r="D103" s="3" t="s">
        <v>101</v>
      </c>
      <c r="E103" s="3" t="s">
        <v>77</v>
      </c>
      <c r="F103" s="3" t="s">
        <v>55</v>
      </c>
      <c r="G103" s="3">
        <v>43757</v>
      </c>
      <c r="I103" s="3">
        <v>81000</v>
      </c>
      <c r="J103" s="3">
        <v>38.94</v>
      </c>
      <c r="K103" s="3" t="s">
        <v>367</v>
      </c>
      <c r="L103" s="3">
        <v>310</v>
      </c>
      <c r="M103" s="3" t="s">
        <v>368</v>
      </c>
    </row>
    <row r="104" spans="1:13">
      <c r="A104" s="3" t="s">
        <v>310</v>
      </c>
      <c r="B104" s="3" t="s">
        <v>311</v>
      </c>
      <c r="C104" s="3" t="s">
        <v>91</v>
      </c>
      <c r="D104" s="3" t="s">
        <v>165</v>
      </c>
      <c r="E104" s="3" t="s">
        <v>84</v>
      </c>
      <c r="F104" s="3" t="s">
        <v>55</v>
      </c>
      <c r="G104" s="3">
        <v>45696</v>
      </c>
      <c r="I104" s="3">
        <v>80000</v>
      </c>
      <c r="J104" s="3">
        <v>38.46</v>
      </c>
      <c r="K104" s="3" t="s">
        <v>369</v>
      </c>
      <c r="L104" s="3">
        <v>0</v>
      </c>
      <c r="M104" s="3" t="s">
        <v>365</v>
      </c>
    </row>
    <row r="105" spans="1:13">
      <c r="A105" s="3" t="s">
        <v>312</v>
      </c>
      <c r="B105" s="3" t="s">
        <v>313</v>
      </c>
      <c r="C105" s="3" t="s">
        <v>129</v>
      </c>
      <c r="D105" s="3" t="s">
        <v>162</v>
      </c>
      <c r="E105" s="3" t="s">
        <v>110</v>
      </c>
      <c r="F105" s="3" t="s">
        <v>55</v>
      </c>
      <c r="G105" s="3">
        <v>44145</v>
      </c>
      <c r="I105" s="3">
        <v>91000</v>
      </c>
      <c r="J105" s="3">
        <v>43.75</v>
      </c>
      <c r="K105" s="3" t="s">
        <v>369</v>
      </c>
      <c r="L105" s="3">
        <v>0</v>
      </c>
      <c r="M105" s="3" t="s">
        <v>368</v>
      </c>
    </row>
    <row r="106" spans="1:13">
      <c r="A106" s="3" t="s">
        <v>314</v>
      </c>
      <c r="B106" s="3" t="s">
        <v>315</v>
      </c>
      <c r="C106" s="3" t="s">
        <v>52</v>
      </c>
      <c r="D106" s="3" t="s">
        <v>113</v>
      </c>
      <c r="E106" s="3" t="s">
        <v>54</v>
      </c>
      <c r="F106" s="3" t="s">
        <v>55</v>
      </c>
      <c r="G106" s="3">
        <v>45114</v>
      </c>
      <c r="I106" s="3">
        <v>86000</v>
      </c>
      <c r="J106" s="3">
        <v>41.35</v>
      </c>
      <c r="K106" s="3" t="s">
        <v>369</v>
      </c>
      <c r="L106" s="3">
        <v>0</v>
      </c>
      <c r="M106" s="3" t="s">
        <v>368</v>
      </c>
    </row>
    <row r="107" spans="1:13">
      <c r="A107" s="3" t="s">
        <v>317</v>
      </c>
      <c r="B107" s="3" t="s">
        <v>318</v>
      </c>
      <c r="C107" s="3" t="s">
        <v>52</v>
      </c>
      <c r="D107" s="3" t="s">
        <v>61</v>
      </c>
      <c r="E107" s="3" t="s">
        <v>110</v>
      </c>
      <c r="F107" s="3" t="s">
        <v>55</v>
      </c>
      <c r="G107" s="3">
        <v>45235</v>
      </c>
      <c r="I107" s="3">
        <v>93000</v>
      </c>
      <c r="J107" s="3">
        <v>44.71</v>
      </c>
      <c r="K107" s="3" t="s">
        <v>369</v>
      </c>
      <c r="L107" s="3">
        <v>0</v>
      </c>
      <c r="M107" s="3" t="s">
        <v>370</v>
      </c>
    </row>
    <row r="108" spans="1:13">
      <c r="A108" s="3" t="s">
        <v>319</v>
      </c>
      <c r="B108" s="3" t="s">
        <v>320</v>
      </c>
      <c r="C108" s="3" t="s">
        <v>91</v>
      </c>
      <c r="D108" s="3" t="s">
        <v>258</v>
      </c>
      <c r="E108" s="3" t="s">
        <v>102</v>
      </c>
      <c r="F108" s="3" t="s">
        <v>55</v>
      </c>
      <c r="G108" s="3">
        <v>43550</v>
      </c>
      <c r="I108" s="3">
        <v>86000</v>
      </c>
      <c r="J108" s="3">
        <v>41.35</v>
      </c>
      <c r="K108" s="3" t="s">
        <v>369</v>
      </c>
      <c r="L108" s="3">
        <v>0</v>
      </c>
      <c r="M108" s="3" t="s">
        <v>364</v>
      </c>
    </row>
    <row r="109" spans="1:13">
      <c r="A109" s="3" t="s">
        <v>321</v>
      </c>
      <c r="B109" s="3" t="s">
        <v>322</v>
      </c>
      <c r="C109" s="3" t="s">
        <v>129</v>
      </c>
      <c r="D109" s="3" t="s">
        <v>130</v>
      </c>
      <c r="E109" s="3" t="s">
        <v>117</v>
      </c>
      <c r="F109" s="3" t="s">
        <v>55</v>
      </c>
      <c r="G109" s="3">
        <v>45277</v>
      </c>
      <c r="I109" s="3">
        <v>87000</v>
      </c>
      <c r="J109" s="3">
        <v>41.83</v>
      </c>
      <c r="K109" s="3" t="s">
        <v>363</v>
      </c>
      <c r="L109" s="3">
        <v>185</v>
      </c>
      <c r="M109" s="3" t="s">
        <v>368</v>
      </c>
    </row>
    <row r="110" spans="1:13">
      <c r="A110" s="3" t="s">
        <v>323</v>
      </c>
      <c r="B110" s="3" t="s">
        <v>191</v>
      </c>
      <c r="C110" s="3" t="s">
        <v>108</v>
      </c>
      <c r="D110" s="3" t="s">
        <v>109</v>
      </c>
      <c r="E110" s="3" t="s">
        <v>77</v>
      </c>
      <c r="F110" s="3" t="s">
        <v>55</v>
      </c>
      <c r="G110" s="3">
        <v>44891</v>
      </c>
      <c r="I110" s="3">
        <v>104000</v>
      </c>
      <c r="J110" s="3">
        <v>50</v>
      </c>
      <c r="K110" s="3" t="s">
        <v>367</v>
      </c>
      <c r="L110" s="3">
        <v>310</v>
      </c>
      <c r="M110" s="3" t="s">
        <v>370</v>
      </c>
    </row>
    <row r="111" spans="1:13">
      <c r="A111" s="3" t="s">
        <v>324</v>
      </c>
      <c r="B111" s="3" t="s">
        <v>325</v>
      </c>
      <c r="C111" s="3" t="s">
        <v>129</v>
      </c>
      <c r="D111" s="3" t="s">
        <v>130</v>
      </c>
      <c r="E111" s="3" t="s">
        <v>62</v>
      </c>
      <c r="F111" s="3" t="s">
        <v>55</v>
      </c>
      <c r="G111" s="3">
        <v>45495</v>
      </c>
      <c r="I111" s="3">
        <v>88000</v>
      </c>
      <c r="J111" s="3">
        <v>42.31</v>
      </c>
      <c r="K111" s="3" t="s">
        <v>369</v>
      </c>
      <c r="L111" s="3">
        <v>0</v>
      </c>
      <c r="M111" s="3" t="s">
        <v>366</v>
      </c>
    </row>
    <row r="112" spans="1:13">
      <c r="A112" s="3" t="s">
        <v>326</v>
      </c>
      <c r="B112" s="3" t="s">
        <v>327</v>
      </c>
      <c r="C112" s="3" t="s">
        <v>65</v>
      </c>
      <c r="D112" s="3" t="s">
        <v>192</v>
      </c>
      <c r="E112" s="3" t="s">
        <v>84</v>
      </c>
      <c r="F112" s="3" t="s">
        <v>55</v>
      </c>
      <c r="G112" s="3">
        <v>44754</v>
      </c>
      <c r="I112" s="3">
        <v>84000</v>
      </c>
      <c r="J112" s="3">
        <v>40.380000000000003</v>
      </c>
      <c r="K112" s="3" t="s">
        <v>367</v>
      </c>
      <c r="L112" s="3">
        <v>310</v>
      </c>
      <c r="M112" s="3" t="s">
        <v>364</v>
      </c>
    </row>
    <row r="113" spans="1:13">
      <c r="A113" s="3" t="s">
        <v>328</v>
      </c>
      <c r="B113" s="3" t="s">
        <v>329</v>
      </c>
      <c r="C113" s="3" t="s">
        <v>65</v>
      </c>
      <c r="D113" s="3" t="s">
        <v>66</v>
      </c>
      <c r="E113" s="3" t="s">
        <v>117</v>
      </c>
      <c r="F113" s="3" t="s">
        <v>55</v>
      </c>
      <c r="G113" s="3">
        <v>45358</v>
      </c>
      <c r="I113" s="3">
        <v>104000</v>
      </c>
      <c r="J113" s="3">
        <v>50</v>
      </c>
      <c r="K113" s="3" t="s">
        <v>363</v>
      </c>
      <c r="L113" s="3">
        <v>185</v>
      </c>
      <c r="M113" s="3" t="s">
        <v>365</v>
      </c>
    </row>
    <row r="114" spans="1:13">
      <c r="A114" s="3" t="s">
        <v>330</v>
      </c>
      <c r="B114" s="3" t="s">
        <v>313</v>
      </c>
      <c r="C114" s="3" t="s">
        <v>108</v>
      </c>
      <c r="D114" s="3" t="s">
        <v>185</v>
      </c>
      <c r="E114" s="3" t="s">
        <v>77</v>
      </c>
      <c r="F114" s="3" t="s">
        <v>68</v>
      </c>
      <c r="G114" s="3">
        <v>43677</v>
      </c>
      <c r="H114" s="3">
        <v>46080</v>
      </c>
      <c r="I114" s="3">
        <v>86000</v>
      </c>
      <c r="J114" s="3">
        <v>41.35</v>
      </c>
      <c r="K114" s="3" t="s">
        <v>369</v>
      </c>
      <c r="L114" s="3">
        <v>0</v>
      </c>
      <c r="M114" s="3" t="s">
        <v>365</v>
      </c>
    </row>
    <row r="115" spans="1:13">
      <c r="A115" s="3" t="s">
        <v>331</v>
      </c>
      <c r="B115" s="3" t="s">
        <v>332</v>
      </c>
      <c r="C115" s="3" t="s">
        <v>108</v>
      </c>
      <c r="D115" s="3" t="s">
        <v>109</v>
      </c>
      <c r="E115" s="3" t="s">
        <v>110</v>
      </c>
      <c r="F115" s="3" t="s">
        <v>68</v>
      </c>
      <c r="G115" s="3">
        <v>44446</v>
      </c>
      <c r="H115" s="3">
        <v>46074</v>
      </c>
      <c r="I115" s="3">
        <v>91000</v>
      </c>
      <c r="J115" s="3">
        <v>43.75</v>
      </c>
      <c r="K115" s="3" t="s">
        <v>369</v>
      </c>
      <c r="L115" s="3">
        <v>0</v>
      </c>
      <c r="M115" s="3" t="s">
        <v>364</v>
      </c>
    </row>
    <row r="116" spans="1:13">
      <c r="A116" s="3" t="s">
        <v>333</v>
      </c>
      <c r="B116" s="3" t="s">
        <v>334</v>
      </c>
      <c r="C116" s="3" t="s">
        <v>52</v>
      </c>
      <c r="D116" s="3" t="s">
        <v>53</v>
      </c>
      <c r="E116" s="3" t="s">
        <v>84</v>
      </c>
      <c r="F116" s="3" t="s">
        <v>68</v>
      </c>
      <c r="G116" s="3">
        <v>45356</v>
      </c>
      <c r="H116" s="3">
        <v>46069</v>
      </c>
      <c r="I116" s="3">
        <v>71000</v>
      </c>
      <c r="J116" s="3">
        <v>34.130000000000003</v>
      </c>
      <c r="K116" s="3" t="s">
        <v>367</v>
      </c>
      <c r="L116" s="3">
        <v>310</v>
      </c>
      <c r="M116" s="3" t="s">
        <v>370</v>
      </c>
    </row>
    <row r="117" spans="1:13">
      <c r="A117" s="3" t="s">
        <v>335</v>
      </c>
      <c r="B117" s="3" t="s">
        <v>336</v>
      </c>
      <c r="C117" s="3" t="s">
        <v>100</v>
      </c>
      <c r="D117" s="3" t="s">
        <v>203</v>
      </c>
      <c r="E117" s="3" t="s">
        <v>77</v>
      </c>
      <c r="F117" s="3" t="s">
        <v>68</v>
      </c>
      <c r="G117" s="3">
        <v>45400</v>
      </c>
      <c r="H117" s="3">
        <v>46085</v>
      </c>
      <c r="I117" s="3">
        <v>110000</v>
      </c>
      <c r="J117" s="3">
        <v>52.88</v>
      </c>
      <c r="K117" s="3" t="s">
        <v>369</v>
      </c>
      <c r="L117" s="3">
        <v>0</v>
      </c>
      <c r="M117" s="3" t="s">
        <v>365</v>
      </c>
    </row>
    <row r="118" spans="1:13">
      <c r="A118" s="3" t="s">
        <v>337</v>
      </c>
      <c r="B118" s="3" t="s">
        <v>338</v>
      </c>
      <c r="C118" s="3" t="s">
        <v>129</v>
      </c>
      <c r="D118" s="3" t="s">
        <v>162</v>
      </c>
      <c r="E118" s="3" t="s">
        <v>54</v>
      </c>
      <c r="F118" s="3" t="s">
        <v>68</v>
      </c>
      <c r="G118" s="3">
        <v>45165</v>
      </c>
      <c r="H118" s="3">
        <v>46097</v>
      </c>
      <c r="I118" s="3">
        <v>116000</v>
      </c>
      <c r="J118" s="3">
        <v>55.77</v>
      </c>
      <c r="K118" s="3" t="s">
        <v>367</v>
      </c>
      <c r="L118" s="3">
        <v>310</v>
      </c>
      <c r="M118" s="3" t="s">
        <v>364</v>
      </c>
    </row>
    <row r="119" spans="1:13">
      <c r="A119" s="3" t="s">
        <v>339</v>
      </c>
      <c r="B119" s="3" t="s">
        <v>340</v>
      </c>
      <c r="C119" s="3" t="s">
        <v>100</v>
      </c>
      <c r="D119" s="3" t="s">
        <v>101</v>
      </c>
      <c r="E119" s="3" t="s">
        <v>102</v>
      </c>
      <c r="F119" s="3" t="s">
        <v>68</v>
      </c>
      <c r="G119" s="3">
        <v>45471</v>
      </c>
      <c r="H119" s="3">
        <v>46073</v>
      </c>
      <c r="I119" s="3">
        <v>109000</v>
      </c>
      <c r="J119" s="3">
        <v>52.4</v>
      </c>
      <c r="K119" s="3" t="s">
        <v>369</v>
      </c>
      <c r="L119" s="3">
        <v>0</v>
      </c>
      <c r="M119" s="3" t="s">
        <v>366</v>
      </c>
    </row>
    <row r="120" spans="1:13">
      <c r="A120" s="3" t="s">
        <v>341</v>
      </c>
      <c r="B120" s="3" t="s">
        <v>342</v>
      </c>
      <c r="C120" s="3" t="s">
        <v>133</v>
      </c>
      <c r="D120" s="3" t="s">
        <v>147</v>
      </c>
      <c r="E120" s="3" t="s">
        <v>122</v>
      </c>
      <c r="F120" s="3" t="s">
        <v>68</v>
      </c>
      <c r="G120" s="3">
        <v>44238</v>
      </c>
      <c r="H120" s="3">
        <v>46084</v>
      </c>
      <c r="I120" s="3">
        <v>125000</v>
      </c>
      <c r="J120" s="3">
        <v>60.1</v>
      </c>
      <c r="K120" s="3" t="s">
        <v>367</v>
      </c>
      <c r="L120" s="3">
        <v>310</v>
      </c>
      <c r="M120" s="3" t="s">
        <v>365</v>
      </c>
    </row>
    <row r="121" spans="1:13">
      <c r="A121" s="3" t="s">
        <v>343</v>
      </c>
      <c r="B121" s="3" t="s">
        <v>344</v>
      </c>
      <c r="C121" s="3" t="s">
        <v>65</v>
      </c>
      <c r="D121" s="3" t="s">
        <v>192</v>
      </c>
      <c r="E121" s="3" t="s">
        <v>77</v>
      </c>
      <c r="F121" s="3" t="s">
        <v>68</v>
      </c>
      <c r="G121" s="3">
        <v>45027</v>
      </c>
      <c r="H121" s="3">
        <v>46103</v>
      </c>
      <c r="I121" s="3">
        <v>71000</v>
      </c>
      <c r="J121" s="3">
        <v>34.130000000000003</v>
      </c>
      <c r="K121" s="3" t="s">
        <v>367</v>
      </c>
      <c r="L121" s="3">
        <v>310</v>
      </c>
      <c r="M121" s="3" t="s">
        <v>364</v>
      </c>
    </row>
    <row r="122" spans="1:13">
      <c r="A122" s="3" t="s">
        <v>345</v>
      </c>
      <c r="B122" s="3" t="s">
        <v>346</v>
      </c>
      <c r="C122" s="3" t="s">
        <v>80</v>
      </c>
      <c r="D122" s="3" t="s">
        <v>88</v>
      </c>
      <c r="E122" s="3" t="s">
        <v>77</v>
      </c>
      <c r="F122" s="3" t="s">
        <v>347</v>
      </c>
      <c r="G122" s="3">
        <v>43874</v>
      </c>
      <c r="I122" s="3">
        <v>119000</v>
      </c>
      <c r="J122" s="3">
        <v>57.21</v>
      </c>
      <c r="K122" s="3" t="s">
        <v>367</v>
      </c>
      <c r="L122" s="3">
        <v>310</v>
      </c>
      <c r="M122" s="3" t="s">
        <v>364</v>
      </c>
    </row>
    <row r="123" spans="1:13">
      <c r="A123" s="3" t="s">
        <v>348</v>
      </c>
      <c r="B123" s="3" t="s">
        <v>349</v>
      </c>
      <c r="C123" s="3" t="s">
        <v>133</v>
      </c>
      <c r="D123" s="3" t="s">
        <v>134</v>
      </c>
      <c r="E123" s="3" t="s">
        <v>217</v>
      </c>
      <c r="F123" s="3" t="s">
        <v>347</v>
      </c>
      <c r="G123" s="3">
        <v>43772</v>
      </c>
      <c r="I123" s="3">
        <v>112000</v>
      </c>
      <c r="J123" s="3">
        <v>53.85</v>
      </c>
      <c r="K123" s="3" t="s">
        <v>367</v>
      </c>
      <c r="L123" s="3">
        <v>310</v>
      </c>
      <c r="M123" s="3" t="s">
        <v>370</v>
      </c>
    </row>
    <row r="124" spans="1:13">
      <c r="A124" s="3" t="s">
        <v>350</v>
      </c>
      <c r="B124" s="3" t="s">
        <v>351</v>
      </c>
      <c r="C124" s="3" t="s">
        <v>133</v>
      </c>
      <c r="D124" s="3" t="s">
        <v>134</v>
      </c>
      <c r="E124" s="3" t="s">
        <v>84</v>
      </c>
      <c r="F124" s="3" t="s">
        <v>347</v>
      </c>
      <c r="G124" s="3">
        <v>44811</v>
      </c>
      <c r="I124" s="3">
        <v>120000</v>
      </c>
      <c r="J124" s="3">
        <v>57.69</v>
      </c>
      <c r="K124" s="3" t="s">
        <v>367</v>
      </c>
      <c r="L124" s="3">
        <v>310</v>
      </c>
      <c r="M124" s="3" t="s">
        <v>370</v>
      </c>
    </row>
    <row r="125" spans="1:13">
      <c r="A125" s="3" t="s">
        <v>352</v>
      </c>
      <c r="B125" s="3" t="s">
        <v>353</v>
      </c>
      <c r="C125" s="3" t="s">
        <v>108</v>
      </c>
      <c r="D125" s="3" t="s">
        <v>185</v>
      </c>
      <c r="E125" s="3" t="s">
        <v>110</v>
      </c>
      <c r="F125" s="3" t="s">
        <v>347</v>
      </c>
      <c r="G125" s="3">
        <v>43746</v>
      </c>
      <c r="I125" s="3">
        <v>82000</v>
      </c>
      <c r="J125" s="3">
        <v>39.42</v>
      </c>
      <c r="K125" s="3" t="s">
        <v>369</v>
      </c>
      <c r="L125" s="3">
        <v>0</v>
      </c>
      <c r="M125" s="3" t="s">
        <v>370</v>
      </c>
    </row>
    <row r="126" spans="1:13">
      <c r="A126" s="3" t="s">
        <v>354</v>
      </c>
      <c r="B126" s="3" t="s">
        <v>355</v>
      </c>
      <c r="C126" s="3" t="s">
        <v>52</v>
      </c>
      <c r="D126" s="3" t="s">
        <v>113</v>
      </c>
      <c r="E126" s="3" t="s">
        <v>84</v>
      </c>
      <c r="F126" s="3" t="s">
        <v>347</v>
      </c>
      <c r="G126" s="3">
        <v>43877</v>
      </c>
      <c r="I126" s="3">
        <v>108000</v>
      </c>
      <c r="J126" s="3">
        <v>51.92</v>
      </c>
      <c r="K126" s="3" t="s">
        <v>363</v>
      </c>
      <c r="L126" s="3">
        <v>185</v>
      </c>
      <c r="M126" s="3" t="s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0"/>
  <sheetViews>
    <sheetView workbookViewId="0">
      <selection sqref="A1:XFD1048576"/>
    </sheetView>
  </sheetViews>
  <sheetFormatPr defaultRowHeight="14"/>
  <cols>
    <col min="1" max="1" width="9.6640625" style="3" customWidth="1"/>
    <col min="2" max="2" width="11.4140625" style="3" customWidth="1"/>
    <col min="3" max="3" width="8.83203125" style="3" customWidth="1"/>
    <col min="4" max="4" width="12.6640625" style="3" customWidth="1"/>
    <col min="5" max="5" width="14.25" style="3" customWidth="1"/>
    <col min="6" max="6" width="5.25" style="3" customWidth="1"/>
    <col min="7" max="7" width="6.83203125" style="3" customWidth="1"/>
    <col min="8" max="8" width="9.6640625" style="3" customWidth="1"/>
    <col min="9" max="9" width="7.1640625" style="3" customWidth="1"/>
    <col min="10" max="16384" width="8.6640625" style="3"/>
  </cols>
  <sheetData>
    <row r="1" spans="1:9">
      <c r="A1" s="1" t="s">
        <v>29</v>
      </c>
      <c r="B1" s="1" t="s">
        <v>30</v>
      </c>
      <c r="C1" s="1" t="s">
        <v>40</v>
      </c>
      <c r="D1" s="1" t="s">
        <v>36</v>
      </c>
      <c r="E1" s="1" t="s">
        <v>37</v>
      </c>
      <c r="F1" s="1" t="s">
        <v>39</v>
      </c>
      <c r="G1" s="1" t="s">
        <v>41</v>
      </c>
      <c r="H1" s="1" t="s">
        <v>42</v>
      </c>
      <c r="I1" s="1" t="s">
        <v>43</v>
      </c>
    </row>
    <row r="2" spans="1:9">
      <c r="A2" s="3">
        <v>46031</v>
      </c>
      <c r="B2" s="3" t="s">
        <v>50</v>
      </c>
      <c r="C2" s="3">
        <v>3412.73</v>
      </c>
      <c r="D2" s="3">
        <v>80</v>
      </c>
      <c r="E2" s="3">
        <v>6</v>
      </c>
      <c r="F2" s="3">
        <v>0</v>
      </c>
      <c r="G2" s="3">
        <v>729.42</v>
      </c>
      <c r="H2" s="3">
        <v>185</v>
      </c>
      <c r="I2" s="3">
        <v>2498.31</v>
      </c>
    </row>
    <row r="3" spans="1:9">
      <c r="A3" s="3">
        <v>46031</v>
      </c>
      <c r="B3" s="3" t="s">
        <v>59</v>
      </c>
      <c r="C3" s="3">
        <v>2116.94</v>
      </c>
      <c r="D3" s="3">
        <v>80</v>
      </c>
      <c r="E3" s="3">
        <v>0</v>
      </c>
      <c r="F3" s="3">
        <v>0</v>
      </c>
      <c r="G3" s="3">
        <v>488.87</v>
      </c>
      <c r="H3" s="3">
        <v>185</v>
      </c>
      <c r="I3" s="3">
        <v>1443.07</v>
      </c>
    </row>
    <row r="4" spans="1:9">
      <c r="A4" s="3">
        <v>46031</v>
      </c>
      <c r="B4" s="3" t="s">
        <v>63</v>
      </c>
      <c r="C4" s="3">
        <v>4022.21</v>
      </c>
      <c r="D4" s="3">
        <v>80</v>
      </c>
      <c r="E4" s="3">
        <v>0</v>
      </c>
      <c r="F4" s="3">
        <v>0</v>
      </c>
      <c r="G4" s="3">
        <v>944.63</v>
      </c>
      <c r="H4" s="3">
        <v>185</v>
      </c>
      <c r="I4" s="3">
        <v>2892.58</v>
      </c>
    </row>
    <row r="5" spans="1:9">
      <c r="A5" s="3">
        <v>46031</v>
      </c>
      <c r="B5" s="3" t="s">
        <v>70</v>
      </c>
      <c r="C5" s="3">
        <v>4107.2700000000004</v>
      </c>
      <c r="D5" s="3">
        <v>80</v>
      </c>
      <c r="E5" s="3">
        <v>8</v>
      </c>
      <c r="F5" s="3">
        <v>250</v>
      </c>
      <c r="G5" s="3">
        <v>923.27</v>
      </c>
      <c r="H5" s="3">
        <v>185</v>
      </c>
      <c r="I5" s="3">
        <v>2999</v>
      </c>
    </row>
    <row r="6" spans="1:9">
      <c r="A6" s="3">
        <v>46031</v>
      </c>
      <c r="B6" s="3" t="s">
        <v>73</v>
      </c>
      <c r="C6" s="3">
        <v>3728.83</v>
      </c>
      <c r="D6" s="3">
        <v>80</v>
      </c>
      <c r="E6" s="3">
        <v>0</v>
      </c>
      <c r="F6" s="3">
        <v>0</v>
      </c>
      <c r="G6" s="3">
        <v>756.42</v>
      </c>
      <c r="H6" s="3">
        <v>310</v>
      </c>
      <c r="I6" s="3">
        <v>2662.41</v>
      </c>
    </row>
    <row r="7" spans="1:9">
      <c r="A7" s="3">
        <v>46031</v>
      </c>
      <c r="B7" s="3" t="s">
        <v>75</v>
      </c>
      <c r="C7" s="3">
        <v>3245.65</v>
      </c>
      <c r="D7" s="3">
        <v>80</v>
      </c>
      <c r="E7" s="3">
        <v>4</v>
      </c>
      <c r="F7" s="3">
        <v>500</v>
      </c>
      <c r="G7" s="3">
        <v>819.26</v>
      </c>
      <c r="H7" s="3">
        <v>310</v>
      </c>
      <c r="I7" s="3">
        <v>2116.39</v>
      </c>
    </row>
    <row r="8" spans="1:9">
      <c r="A8" s="3">
        <v>46031</v>
      </c>
      <c r="B8" s="3" t="s">
        <v>78</v>
      </c>
      <c r="C8" s="3">
        <v>2859.04</v>
      </c>
      <c r="D8" s="3">
        <v>80</v>
      </c>
      <c r="E8" s="3">
        <v>4</v>
      </c>
      <c r="F8" s="3">
        <v>500</v>
      </c>
      <c r="G8" s="3">
        <v>533.63</v>
      </c>
      <c r="H8" s="3">
        <v>0</v>
      </c>
      <c r="I8" s="3">
        <v>2325.41</v>
      </c>
    </row>
    <row r="9" spans="1:9">
      <c r="A9" s="3">
        <v>46031</v>
      </c>
      <c r="B9" s="3" t="s">
        <v>82</v>
      </c>
      <c r="C9" s="3">
        <v>3962.58</v>
      </c>
      <c r="D9" s="3">
        <v>80</v>
      </c>
      <c r="E9" s="3">
        <v>6</v>
      </c>
      <c r="F9" s="3">
        <v>250</v>
      </c>
      <c r="G9" s="3">
        <v>1056.3499999999999</v>
      </c>
      <c r="H9" s="3">
        <v>310</v>
      </c>
      <c r="I9" s="3">
        <v>2596.23</v>
      </c>
    </row>
    <row r="10" spans="1:9">
      <c r="A10" s="3">
        <v>46031</v>
      </c>
      <c r="B10" s="3" t="s">
        <v>86</v>
      </c>
      <c r="C10" s="3">
        <v>5350.93</v>
      </c>
      <c r="D10" s="3">
        <v>80</v>
      </c>
      <c r="E10" s="3">
        <v>4</v>
      </c>
      <c r="F10" s="3">
        <v>0</v>
      </c>
      <c r="G10" s="3">
        <v>1059.1099999999999</v>
      </c>
      <c r="H10" s="3">
        <v>0</v>
      </c>
      <c r="I10" s="3">
        <v>4291.82</v>
      </c>
    </row>
    <row r="11" spans="1:9">
      <c r="A11" s="3">
        <v>46031</v>
      </c>
      <c r="B11" s="3" t="s">
        <v>89</v>
      </c>
      <c r="C11" s="3">
        <v>3784.22</v>
      </c>
      <c r="D11" s="3">
        <v>80</v>
      </c>
      <c r="E11" s="3">
        <v>8</v>
      </c>
      <c r="F11" s="3">
        <v>0</v>
      </c>
      <c r="G11" s="3">
        <v>811.04</v>
      </c>
      <c r="H11" s="3">
        <v>0</v>
      </c>
      <c r="I11" s="3">
        <v>2973.18</v>
      </c>
    </row>
    <row r="12" spans="1:9">
      <c r="A12" s="3">
        <v>46031</v>
      </c>
      <c r="B12" s="3" t="s">
        <v>94</v>
      </c>
      <c r="C12" s="3">
        <v>4176.32</v>
      </c>
      <c r="D12" s="3">
        <v>80</v>
      </c>
      <c r="E12" s="3">
        <v>6</v>
      </c>
      <c r="F12" s="3">
        <v>250</v>
      </c>
      <c r="G12" s="3">
        <v>1014.57</v>
      </c>
      <c r="H12" s="3">
        <v>310</v>
      </c>
      <c r="I12" s="3">
        <v>2851.75</v>
      </c>
    </row>
    <row r="13" spans="1:9">
      <c r="A13" s="3">
        <v>46031</v>
      </c>
      <c r="B13" s="3" t="s">
        <v>96</v>
      </c>
      <c r="C13" s="3">
        <v>4725.5600000000004</v>
      </c>
      <c r="D13" s="3">
        <v>80</v>
      </c>
      <c r="E13" s="3">
        <v>0</v>
      </c>
      <c r="F13" s="3">
        <v>500</v>
      </c>
      <c r="G13" s="3">
        <v>854.04</v>
      </c>
      <c r="H13" s="3">
        <v>185</v>
      </c>
      <c r="I13" s="3">
        <v>3686.52</v>
      </c>
    </row>
    <row r="14" spans="1:9">
      <c r="A14" s="3">
        <v>46031</v>
      </c>
      <c r="B14" s="3" t="s">
        <v>98</v>
      </c>
      <c r="C14" s="3">
        <v>5108.41</v>
      </c>
      <c r="D14" s="3">
        <v>80</v>
      </c>
      <c r="E14" s="3">
        <v>0</v>
      </c>
      <c r="F14" s="3">
        <v>250</v>
      </c>
      <c r="G14" s="3">
        <v>1302.42</v>
      </c>
      <c r="H14" s="3">
        <v>310</v>
      </c>
      <c r="I14" s="3">
        <v>3495.99</v>
      </c>
    </row>
    <row r="15" spans="1:9">
      <c r="A15" s="3">
        <v>46031</v>
      </c>
      <c r="B15" s="3" t="s">
        <v>106</v>
      </c>
      <c r="C15" s="3">
        <v>2940.9</v>
      </c>
      <c r="D15" s="3">
        <v>80</v>
      </c>
      <c r="E15" s="3">
        <v>4</v>
      </c>
      <c r="F15" s="3">
        <v>0</v>
      </c>
      <c r="G15" s="3">
        <v>622.61</v>
      </c>
      <c r="H15" s="3">
        <v>0</v>
      </c>
      <c r="I15" s="3">
        <v>2318.29</v>
      </c>
    </row>
    <row r="16" spans="1:9">
      <c r="A16" s="3">
        <v>46031</v>
      </c>
      <c r="B16" s="3" t="s">
        <v>111</v>
      </c>
      <c r="C16" s="3">
        <v>4986.08</v>
      </c>
      <c r="D16" s="3">
        <v>80</v>
      </c>
      <c r="E16" s="3">
        <v>2</v>
      </c>
      <c r="F16" s="3">
        <v>250</v>
      </c>
      <c r="G16" s="3">
        <v>1236.56</v>
      </c>
      <c r="H16" s="3">
        <v>310</v>
      </c>
      <c r="I16" s="3">
        <v>3439.52</v>
      </c>
    </row>
    <row r="17" spans="1:9">
      <c r="A17" s="3">
        <v>46031</v>
      </c>
      <c r="B17" s="3" t="s">
        <v>115</v>
      </c>
      <c r="C17" s="3">
        <v>4133.71</v>
      </c>
      <c r="D17" s="3">
        <v>80</v>
      </c>
      <c r="E17" s="3">
        <v>0</v>
      </c>
      <c r="F17" s="3">
        <v>500</v>
      </c>
      <c r="G17" s="3">
        <v>977.5</v>
      </c>
      <c r="H17" s="3">
        <v>185</v>
      </c>
      <c r="I17" s="3">
        <v>2971.21</v>
      </c>
    </row>
    <row r="18" spans="1:9">
      <c r="A18" s="3">
        <v>46031</v>
      </c>
      <c r="B18" s="3" t="s">
        <v>118</v>
      </c>
      <c r="C18" s="3">
        <v>2860.58</v>
      </c>
      <c r="D18" s="3">
        <v>80</v>
      </c>
      <c r="E18" s="3">
        <v>0</v>
      </c>
      <c r="F18" s="3">
        <v>0</v>
      </c>
      <c r="G18" s="3">
        <v>523.49</v>
      </c>
      <c r="H18" s="3">
        <v>0</v>
      </c>
      <c r="I18" s="3">
        <v>2337.09</v>
      </c>
    </row>
    <row r="19" spans="1:9">
      <c r="A19" s="3">
        <v>46031</v>
      </c>
      <c r="B19" s="3" t="s">
        <v>120</v>
      </c>
      <c r="C19" s="3">
        <v>5658.95</v>
      </c>
      <c r="D19" s="3">
        <v>80</v>
      </c>
      <c r="E19" s="3">
        <v>6</v>
      </c>
      <c r="F19" s="3">
        <v>500</v>
      </c>
      <c r="G19" s="3">
        <v>1481.89</v>
      </c>
      <c r="H19" s="3">
        <v>0</v>
      </c>
      <c r="I19" s="3">
        <v>4177.0600000000004</v>
      </c>
    </row>
    <row r="20" spans="1:9">
      <c r="A20" s="3">
        <v>46031</v>
      </c>
      <c r="B20" s="3" t="s">
        <v>123</v>
      </c>
      <c r="C20" s="3">
        <v>4389.53</v>
      </c>
      <c r="D20" s="3">
        <v>80</v>
      </c>
      <c r="E20" s="3">
        <v>6</v>
      </c>
      <c r="F20" s="3">
        <v>500</v>
      </c>
      <c r="G20" s="3">
        <v>869.44</v>
      </c>
      <c r="H20" s="3">
        <v>185</v>
      </c>
      <c r="I20" s="3">
        <v>3335.09</v>
      </c>
    </row>
    <row r="21" spans="1:9">
      <c r="A21" s="3">
        <v>46031</v>
      </c>
      <c r="B21" s="3" t="s">
        <v>125</v>
      </c>
      <c r="C21" s="3">
        <v>5384.68</v>
      </c>
      <c r="D21" s="3">
        <v>80</v>
      </c>
      <c r="E21" s="3">
        <v>6</v>
      </c>
      <c r="F21" s="3">
        <v>250</v>
      </c>
      <c r="G21" s="3">
        <v>1101.31</v>
      </c>
      <c r="H21" s="3">
        <v>185</v>
      </c>
      <c r="I21" s="3">
        <v>4098.37</v>
      </c>
    </row>
    <row r="22" spans="1:9">
      <c r="A22" s="3">
        <v>46031</v>
      </c>
      <c r="B22" s="3" t="s">
        <v>127</v>
      </c>
      <c r="C22" s="3">
        <v>3059.16</v>
      </c>
      <c r="D22" s="3">
        <v>80</v>
      </c>
      <c r="E22" s="3">
        <v>0</v>
      </c>
      <c r="F22" s="3">
        <v>0</v>
      </c>
      <c r="G22" s="3">
        <v>810.61</v>
      </c>
      <c r="H22" s="3">
        <v>0</v>
      </c>
      <c r="I22" s="3">
        <v>2248.5500000000002</v>
      </c>
    </row>
    <row r="23" spans="1:9">
      <c r="A23" s="3">
        <v>46031</v>
      </c>
      <c r="B23" s="3" t="s">
        <v>131</v>
      </c>
      <c r="C23" s="3">
        <v>5397.36</v>
      </c>
      <c r="D23" s="3">
        <v>80</v>
      </c>
      <c r="E23" s="3">
        <v>4</v>
      </c>
      <c r="F23" s="3">
        <v>500</v>
      </c>
      <c r="G23" s="3">
        <v>1362.19</v>
      </c>
      <c r="H23" s="3">
        <v>310</v>
      </c>
      <c r="I23" s="3">
        <v>3725.17</v>
      </c>
    </row>
    <row r="24" spans="1:9">
      <c r="A24" s="3">
        <v>46031</v>
      </c>
      <c r="B24" s="3" t="s">
        <v>135</v>
      </c>
      <c r="C24" s="3">
        <v>3681.52</v>
      </c>
      <c r="D24" s="3">
        <v>80</v>
      </c>
      <c r="E24" s="3">
        <v>10</v>
      </c>
      <c r="F24" s="3">
        <v>0</v>
      </c>
      <c r="G24" s="3">
        <v>982.91</v>
      </c>
      <c r="H24" s="3">
        <v>0</v>
      </c>
      <c r="I24" s="3">
        <v>2698.61</v>
      </c>
    </row>
    <row r="25" spans="1:9">
      <c r="A25" s="3">
        <v>46031</v>
      </c>
      <c r="B25" s="3" t="s">
        <v>137</v>
      </c>
      <c r="C25" s="3">
        <v>4400.95</v>
      </c>
      <c r="D25" s="3">
        <v>80</v>
      </c>
      <c r="E25" s="3">
        <v>8</v>
      </c>
      <c r="F25" s="3">
        <v>250</v>
      </c>
      <c r="G25" s="3">
        <v>1105.3499999999999</v>
      </c>
      <c r="H25" s="3">
        <v>185</v>
      </c>
      <c r="I25" s="3">
        <v>3110.6</v>
      </c>
    </row>
    <row r="26" spans="1:9">
      <c r="A26" s="3">
        <v>46031</v>
      </c>
      <c r="B26" s="3" t="s">
        <v>139</v>
      </c>
      <c r="C26" s="3">
        <v>4809.5200000000004</v>
      </c>
      <c r="D26" s="3">
        <v>80</v>
      </c>
      <c r="E26" s="3">
        <v>0</v>
      </c>
      <c r="F26" s="3">
        <v>0</v>
      </c>
      <c r="G26" s="3">
        <v>1062.57</v>
      </c>
      <c r="H26" s="3">
        <v>0</v>
      </c>
      <c r="I26" s="3">
        <v>3746.95</v>
      </c>
    </row>
    <row r="27" spans="1:9">
      <c r="A27" s="3">
        <v>46031</v>
      </c>
      <c r="B27" s="3" t="s">
        <v>142</v>
      </c>
      <c r="C27" s="3">
        <v>2890.21</v>
      </c>
      <c r="D27" s="3">
        <v>80</v>
      </c>
      <c r="E27" s="3">
        <v>4</v>
      </c>
      <c r="F27" s="3">
        <v>250</v>
      </c>
      <c r="G27" s="3">
        <v>686.34</v>
      </c>
      <c r="H27" s="3">
        <v>0</v>
      </c>
      <c r="I27" s="3">
        <v>2203.87</v>
      </c>
    </row>
    <row r="28" spans="1:9">
      <c r="A28" s="3">
        <v>46031</v>
      </c>
      <c r="B28" s="3" t="s">
        <v>145</v>
      </c>
      <c r="C28" s="3">
        <v>2533.3000000000002</v>
      </c>
      <c r="D28" s="3">
        <v>80</v>
      </c>
      <c r="E28" s="3">
        <v>6</v>
      </c>
      <c r="F28" s="3">
        <v>0</v>
      </c>
      <c r="G28" s="3">
        <v>563.49</v>
      </c>
      <c r="H28" s="3">
        <v>310</v>
      </c>
      <c r="I28" s="3">
        <v>1659.81</v>
      </c>
    </row>
    <row r="29" spans="1:9">
      <c r="A29" s="3">
        <v>46031</v>
      </c>
      <c r="B29" s="3" t="s">
        <v>148</v>
      </c>
      <c r="C29" s="3">
        <v>3188.45</v>
      </c>
      <c r="D29" s="3">
        <v>80</v>
      </c>
      <c r="E29" s="3">
        <v>6</v>
      </c>
      <c r="F29" s="3">
        <v>250</v>
      </c>
      <c r="G29" s="3">
        <v>592.05999999999995</v>
      </c>
      <c r="H29" s="3">
        <v>310</v>
      </c>
      <c r="I29" s="3">
        <v>2286.39</v>
      </c>
    </row>
    <row r="30" spans="1:9">
      <c r="A30" s="3">
        <v>46031</v>
      </c>
      <c r="B30" s="3" t="s">
        <v>150</v>
      </c>
      <c r="C30" s="3">
        <v>3413.2</v>
      </c>
      <c r="D30" s="3">
        <v>80</v>
      </c>
      <c r="E30" s="3">
        <v>10</v>
      </c>
      <c r="F30" s="3">
        <v>500</v>
      </c>
      <c r="G30" s="3">
        <v>739.8</v>
      </c>
      <c r="H30" s="3">
        <v>185</v>
      </c>
      <c r="I30" s="3">
        <v>2488.4</v>
      </c>
    </row>
    <row r="31" spans="1:9">
      <c r="A31" s="3">
        <v>46031</v>
      </c>
      <c r="B31" s="3" t="s">
        <v>151</v>
      </c>
      <c r="C31" s="3">
        <v>4368.46</v>
      </c>
      <c r="D31" s="3">
        <v>80</v>
      </c>
      <c r="E31" s="3">
        <v>0</v>
      </c>
      <c r="F31" s="3">
        <v>0</v>
      </c>
      <c r="G31" s="3">
        <v>905.99</v>
      </c>
      <c r="H31" s="3">
        <v>185</v>
      </c>
      <c r="I31" s="3">
        <v>3277.47</v>
      </c>
    </row>
    <row r="32" spans="1:9">
      <c r="A32" s="3">
        <v>46031</v>
      </c>
      <c r="B32" s="3" t="s">
        <v>153</v>
      </c>
      <c r="C32" s="3">
        <v>5003.83</v>
      </c>
      <c r="D32" s="3">
        <v>80</v>
      </c>
      <c r="E32" s="3">
        <v>10</v>
      </c>
      <c r="F32" s="3">
        <v>0</v>
      </c>
      <c r="G32" s="3">
        <v>1300.26</v>
      </c>
      <c r="H32" s="3">
        <v>310</v>
      </c>
      <c r="I32" s="3">
        <v>3393.57</v>
      </c>
    </row>
    <row r="33" spans="1:9">
      <c r="A33" s="3">
        <v>46031</v>
      </c>
      <c r="B33" s="3" t="s">
        <v>156</v>
      </c>
      <c r="C33" s="3">
        <v>3036.14</v>
      </c>
      <c r="D33" s="3">
        <v>80</v>
      </c>
      <c r="E33" s="3">
        <v>0</v>
      </c>
      <c r="F33" s="3">
        <v>0</v>
      </c>
      <c r="G33" s="3">
        <v>729.72</v>
      </c>
      <c r="H33" s="3">
        <v>185</v>
      </c>
      <c r="I33" s="3">
        <v>2121.42</v>
      </c>
    </row>
    <row r="34" spans="1:9">
      <c r="A34" s="3">
        <v>46031</v>
      </c>
      <c r="B34" s="3" t="s">
        <v>158</v>
      </c>
      <c r="C34" s="3">
        <v>2827.44</v>
      </c>
      <c r="D34" s="3">
        <v>80</v>
      </c>
      <c r="E34" s="3">
        <v>8</v>
      </c>
      <c r="F34" s="3">
        <v>250</v>
      </c>
      <c r="G34" s="3">
        <v>548.26</v>
      </c>
      <c r="H34" s="3">
        <v>0</v>
      </c>
      <c r="I34" s="3">
        <v>2279.1799999999998</v>
      </c>
    </row>
    <row r="35" spans="1:9">
      <c r="A35" s="3">
        <v>46031</v>
      </c>
      <c r="B35" s="3" t="s">
        <v>160</v>
      </c>
      <c r="C35" s="3">
        <v>3797.29</v>
      </c>
      <c r="D35" s="3">
        <v>80</v>
      </c>
      <c r="E35" s="3">
        <v>8</v>
      </c>
      <c r="F35" s="3">
        <v>500</v>
      </c>
      <c r="G35" s="3">
        <v>850.75</v>
      </c>
      <c r="H35" s="3">
        <v>185</v>
      </c>
      <c r="I35" s="3">
        <v>2761.54</v>
      </c>
    </row>
    <row r="36" spans="1:9">
      <c r="A36" s="3">
        <v>46031</v>
      </c>
      <c r="B36" s="3" t="s">
        <v>163</v>
      </c>
      <c r="C36" s="3">
        <v>3647.75</v>
      </c>
      <c r="D36" s="3">
        <v>80</v>
      </c>
      <c r="E36" s="3">
        <v>8</v>
      </c>
      <c r="F36" s="3">
        <v>0</v>
      </c>
      <c r="G36" s="3">
        <v>778.24</v>
      </c>
      <c r="H36" s="3">
        <v>0</v>
      </c>
      <c r="I36" s="3">
        <v>2869.51</v>
      </c>
    </row>
    <row r="37" spans="1:9">
      <c r="A37" s="3">
        <v>46031</v>
      </c>
      <c r="B37" s="3" t="s">
        <v>166</v>
      </c>
      <c r="C37" s="3">
        <v>5411.94</v>
      </c>
      <c r="D37" s="3">
        <v>80</v>
      </c>
      <c r="E37" s="3">
        <v>10</v>
      </c>
      <c r="F37" s="3">
        <v>0</v>
      </c>
      <c r="G37" s="3">
        <v>1390.82</v>
      </c>
      <c r="H37" s="3">
        <v>310</v>
      </c>
      <c r="I37" s="3">
        <v>3711.12</v>
      </c>
    </row>
    <row r="38" spans="1:9">
      <c r="A38" s="3">
        <v>46031</v>
      </c>
      <c r="B38" s="3" t="s">
        <v>168</v>
      </c>
      <c r="C38" s="3">
        <v>3108.75</v>
      </c>
      <c r="D38" s="3">
        <v>80</v>
      </c>
      <c r="E38" s="3">
        <v>0</v>
      </c>
      <c r="F38" s="3">
        <v>500</v>
      </c>
      <c r="G38" s="3">
        <v>811.86</v>
      </c>
      <c r="H38" s="3">
        <v>0</v>
      </c>
      <c r="I38" s="3">
        <v>2296.89</v>
      </c>
    </row>
    <row r="39" spans="1:9">
      <c r="A39" s="3">
        <v>46031</v>
      </c>
      <c r="B39" s="3" t="s">
        <v>170</v>
      </c>
      <c r="C39" s="3">
        <v>2733.38</v>
      </c>
      <c r="D39" s="3">
        <v>80</v>
      </c>
      <c r="E39" s="3">
        <v>6</v>
      </c>
      <c r="F39" s="3">
        <v>0</v>
      </c>
      <c r="G39" s="3">
        <v>538.70000000000005</v>
      </c>
      <c r="H39" s="3">
        <v>185</v>
      </c>
      <c r="I39" s="3">
        <v>2009.68</v>
      </c>
    </row>
    <row r="40" spans="1:9">
      <c r="A40" s="3">
        <v>46031</v>
      </c>
      <c r="B40" s="3" t="s">
        <v>172</v>
      </c>
      <c r="C40" s="3">
        <v>3171.89</v>
      </c>
      <c r="D40" s="3">
        <v>80</v>
      </c>
      <c r="E40" s="3">
        <v>0</v>
      </c>
      <c r="F40" s="3">
        <v>0</v>
      </c>
      <c r="G40" s="3">
        <v>631.49</v>
      </c>
      <c r="H40" s="3">
        <v>310</v>
      </c>
      <c r="I40" s="3">
        <v>2230.4</v>
      </c>
    </row>
    <row r="41" spans="1:9">
      <c r="A41" s="3">
        <v>46031</v>
      </c>
      <c r="B41" s="3" t="s">
        <v>175</v>
      </c>
      <c r="C41" s="3">
        <v>4706.6499999999996</v>
      </c>
      <c r="D41" s="3">
        <v>80</v>
      </c>
      <c r="E41" s="3">
        <v>0</v>
      </c>
      <c r="F41" s="3">
        <v>0</v>
      </c>
      <c r="G41" s="3">
        <v>950.37</v>
      </c>
      <c r="H41" s="3">
        <v>310</v>
      </c>
      <c r="I41" s="3">
        <v>3446.28</v>
      </c>
    </row>
    <row r="42" spans="1:9">
      <c r="A42" s="3">
        <v>46031</v>
      </c>
      <c r="B42" s="3" t="s">
        <v>177</v>
      </c>
      <c r="C42" s="3">
        <v>3542.95</v>
      </c>
      <c r="D42" s="3">
        <v>80</v>
      </c>
      <c r="E42" s="3">
        <v>0</v>
      </c>
      <c r="F42" s="3">
        <v>250</v>
      </c>
      <c r="G42" s="3">
        <v>902.33</v>
      </c>
      <c r="H42" s="3">
        <v>310</v>
      </c>
      <c r="I42" s="3">
        <v>2330.62</v>
      </c>
    </row>
    <row r="43" spans="1:9">
      <c r="A43" s="3">
        <v>46031</v>
      </c>
      <c r="B43" s="3" t="s">
        <v>179</v>
      </c>
      <c r="C43" s="3">
        <v>4784.8500000000004</v>
      </c>
      <c r="D43" s="3">
        <v>80</v>
      </c>
      <c r="E43" s="3">
        <v>2</v>
      </c>
      <c r="F43" s="3">
        <v>250</v>
      </c>
      <c r="G43" s="3">
        <v>1235.8</v>
      </c>
      <c r="H43" s="3">
        <v>310</v>
      </c>
      <c r="I43" s="3">
        <v>3239.05</v>
      </c>
    </row>
    <row r="44" spans="1:9">
      <c r="A44" s="3">
        <v>46031</v>
      </c>
      <c r="B44" s="3" t="s">
        <v>181</v>
      </c>
      <c r="C44" s="3">
        <v>4036.52</v>
      </c>
      <c r="D44" s="3">
        <v>80</v>
      </c>
      <c r="E44" s="3">
        <v>6</v>
      </c>
      <c r="F44" s="3">
        <v>0</v>
      </c>
      <c r="G44" s="3">
        <v>943.09</v>
      </c>
      <c r="H44" s="3">
        <v>185</v>
      </c>
      <c r="I44" s="3">
        <v>2908.43</v>
      </c>
    </row>
    <row r="45" spans="1:9">
      <c r="A45" s="3">
        <v>46031</v>
      </c>
      <c r="B45" s="3" t="s">
        <v>183</v>
      </c>
      <c r="C45" s="3">
        <v>2215.7199999999998</v>
      </c>
      <c r="D45" s="3">
        <v>80</v>
      </c>
      <c r="E45" s="3">
        <v>4</v>
      </c>
      <c r="F45" s="3">
        <v>0</v>
      </c>
      <c r="G45" s="3">
        <v>506.56</v>
      </c>
      <c r="H45" s="3">
        <v>185</v>
      </c>
      <c r="I45" s="3">
        <v>1524.16</v>
      </c>
    </row>
    <row r="46" spans="1:9">
      <c r="A46" s="3">
        <v>46031</v>
      </c>
      <c r="B46" s="3" t="s">
        <v>186</v>
      </c>
      <c r="C46" s="3">
        <v>4854.2</v>
      </c>
      <c r="D46" s="3">
        <v>80</v>
      </c>
      <c r="E46" s="3">
        <v>0</v>
      </c>
      <c r="F46" s="3">
        <v>0</v>
      </c>
      <c r="G46" s="3">
        <v>885.02</v>
      </c>
      <c r="H46" s="3">
        <v>0</v>
      </c>
      <c r="I46" s="3">
        <v>3969.18</v>
      </c>
    </row>
    <row r="47" spans="1:9">
      <c r="A47" s="3">
        <v>46031</v>
      </c>
      <c r="B47" s="3" t="s">
        <v>190</v>
      </c>
      <c r="C47" s="3">
        <v>3745.27</v>
      </c>
      <c r="D47" s="3">
        <v>80</v>
      </c>
      <c r="E47" s="3">
        <v>0</v>
      </c>
      <c r="F47" s="3">
        <v>0</v>
      </c>
      <c r="G47" s="3">
        <v>754.35</v>
      </c>
      <c r="H47" s="3">
        <v>185</v>
      </c>
      <c r="I47" s="3">
        <v>2805.92</v>
      </c>
    </row>
    <row r="48" spans="1:9">
      <c r="A48" s="3">
        <v>46031</v>
      </c>
      <c r="B48" s="3" t="s">
        <v>193</v>
      </c>
      <c r="C48" s="3">
        <v>3492.34</v>
      </c>
      <c r="D48" s="3">
        <v>80</v>
      </c>
      <c r="E48" s="3">
        <v>6</v>
      </c>
      <c r="F48" s="3">
        <v>0</v>
      </c>
      <c r="G48" s="3">
        <v>645.09</v>
      </c>
      <c r="H48" s="3">
        <v>185</v>
      </c>
      <c r="I48" s="3">
        <v>2662.25</v>
      </c>
    </row>
    <row r="49" spans="1:9">
      <c r="A49" s="3">
        <v>46031</v>
      </c>
      <c r="B49" s="3" t="s">
        <v>195</v>
      </c>
      <c r="C49" s="3">
        <v>3901.79</v>
      </c>
      <c r="D49" s="3">
        <v>80</v>
      </c>
      <c r="E49" s="3">
        <v>8</v>
      </c>
      <c r="F49" s="3">
        <v>250</v>
      </c>
      <c r="G49" s="3">
        <v>724.64</v>
      </c>
      <c r="H49" s="3">
        <v>310</v>
      </c>
      <c r="I49" s="3">
        <v>2867.15</v>
      </c>
    </row>
    <row r="50" spans="1:9">
      <c r="A50" s="3">
        <v>46031</v>
      </c>
      <c r="B50" s="3" t="s">
        <v>197</v>
      </c>
      <c r="C50" s="3">
        <v>3517.5</v>
      </c>
      <c r="D50" s="3">
        <v>80</v>
      </c>
      <c r="E50" s="3">
        <v>10</v>
      </c>
      <c r="F50" s="3">
        <v>0</v>
      </c>
      <c r="G50" s="3">
        <v>667.67</v>
      </c>
      <c r="H50" s="3">
        <v>310</v>
      </c>
      <c r="I50" s="3">
        <v>2539.83</v>
      </c>
    </row>
    <row r="51" spans="1:9">
      <c r="A51" s="3">
        <v>46031</v>
      </c>
      <c r="B51" s="3" t="s">
        <v>199</v>
      </c>
      <c r="C51" s="3">
        <v>4337.2700000000004</v>
      </c>
      <c r="D51" s="3">
        <v>80</v>
      </c>
      <c r="E51" s="3">
        <v>2</v>
      </c>
      <c r="F51" s="3">
        <v>250</v>
      </c>
      <c r="G51" s="3">
        <v>1086.44</v>
      </c>
      <c r="H51" s="3">
        <v>310</v>
      </c>
      <c r="I51" s="3">
        <v>2940.83</v>
      </c>
    </row>
    <row r="52" spans="1:9">
      <c r="A52" s="3">
        <v>46031</v>
      </c>
      <c r="B52" s="3" t="s">
        <v>201</v>
      </c>
      <c r="C52" s="3">
        <v>4968.6899999999996</v>
      </c>
      <c r="D52" s="3">
        <v>80</v>
      </c>
      <c r="E52" s="3">
        <v>4</v>
      </c>
      <c r="F52" s="3">
        <v>0</v>
      </c>
      <c r="G52" s="3">
        <v>908.29</v>
      </c>
      <c r="H52" s="3">
        <v>310</v>
      </c>
      <c r="I52" s="3">
        <v>3750.4</v>
      </c>
    </row>
    <row r="53" spans="1:9">
      <c r="A53" s="3">
        <v>46031</v>
      </c>
      <c r="B53" s="3" t="s">
        <v>204</v>
      </c>
      <c r="C53" s="3">
        <v>2553.96</v>
      </c>
      <c r="D53" s="3">
        <v>80</v>
      </c>
      <c r="E53" s="3">
        <v>10</v>
      </c>
      <c r="F53" s="3">
        <v>0</v>
      </c>
      <c r="G53" s="3">
        <v>484.53</v>
      </c>
      <c r="H53" s="3">
        <v>185</v>
      </c>
      <c r="I53" s="3">
        <v>1884.43</v>
      </c>
    </row>
    <row r="54" spans="1:9">
      <c r="A54" s="3">
        <v>46031</v>
      </c>
      <c r="B54" s="3" t="s">
        <v>206</v>
      </c>
      <c r="C54" s="3">
        <v>3034.37</v>
      </c>
      <c r="D54" s="3">
        <v>80</v>
      </c>
      <c r="E54" s="3">
        <v>10</v>
      </c>
      <c r="F54" s="3">
        <v>0</v>
      </c>
      <c r="G54" s="3">
        <v>634.15</v>
      </c>
      <c r="H54" s="3">
        <v>310</v>
      </c>
      <c r="I54" s="3">
        <v>2090.2199999999998</v>
      </c>
    </row>
    <row r="55" spans="1:9">
      <c r="A55" s="3">
        <v>46031</v>
      </c>
      <c r="B55" s="3" t="s">
        <v>209</v>
      </c>
      <c r="C55" s="3">
        <v>4519.7700000000004</v>
      </c>
      <c r="D55" s="3">
        <v>80</v>
      </c>
      <c r="E55" s="3">
        <v>0</v>
      </c>
      <c r="F55" s="3">
        <v>0</v>
      </c>
      <c r="G55" s="3">
        <v>1067.52</v>
      </c>
      <c r="H55" s="3">
        <v>0</v>
      </c>
      <c r="I55" s="3">
        <v>3452.25</v>
      </c>
    </row>
    <row r="56" spans="1:9">
      <c r="A56" s="3">
        <v>46031</v>
      </c>
      <c r="B56" s="3" t="s">
        <v>211</v>
      </c>
      <c r="C56" s="3">
        <v>2891.54</v>
      </c>
      <c r="D56" s="3">
        <v>80</v>
      </c>
      <c r="E56" s="3">
        <v>6</v>
      </c>
      <c r="F56" s="3">
        <v>0</v>
      </c>
      <c r="G56" s="3">
        <v>658.55</v>
      </c>
      <c r="H56" s="3">
        <v>0</v>
      </c>
      <c r="I56" s="3">
        <v>2232.9899999999998</v>
      </c>
    </row>
    <row r="57" spans="1:9">
      <c r="A57" s="3">
        <v>46031</v>
      </c>
      <c r="B57" s="3" t="s">
        <v>213</v>
      </c>
      <c r="C57" s="3">
        <v>5827.33</v>
      </c>
      <c r="D57" s="3">
        <v>80</v>
      </c>
      <c r="E57" s="3">
        <v>10</v>
      </c>
      <c r="F57" s="3">
        <v>250</v>
      </c>
      <c r="G57" s="3">
        <v>1100.93</v>
      </c>
      <c r="H57" s="3">
        <v>185</v>
      </c>
      <c r="I57" s="3">
        <v>4541.3999999999996</v>
      </c>
    </row>
    <row r="58" spans="1:9">
      <c r="A58" s="3">
        <v>46031</v>
      </c>
      <c r="B58" s="3" t="s">
        <v>215</v>
      </c>
      <c r="C58" s="3">
        <v>3969.09</v>
      </c>
      <c r="D58" s="3">
        <v>80</v>
      </c>
      <c r="E58" s="3">
        <v>0</v>
      </c>
      <c r="F58" s="3">
        <v>500</v>
      </c>
      <c r="G58" s="3">
        <v>989.12</v>
      </c>
      <c r="H58" s="3">
        <v>310</v>
      </c>
      <c r="I58" s="3">
        <v>2669.97</v>
      </c>
    </row>
    <row r="59" spans="1:9">
      <c r="A59" s="3">
        <v>46031</v>
      </c>
      <c r="B59" s="3" t="s">
        <v>218</v>
      </c>
      <c r="C59" s="3">
        <v>5145.18</v>
      </c>
      <c r="D59" s="3">
        <v>80</v>
      </c>
      <c r="E59" s="3">
        <v>2</v>
      </c>
      <c r="F59" s="3">
        <v>0</v>
      </c>
      <c r="G59" s="3">
        <v>1031.94</v>
      </c>
      <c r="H59" s="3">
        <v>0</v>
      </c>
      <c r="I59" s="3">
        <v>4113.24</v>
      </c>
    </row>
    <row r="60" spans="1:9">
      <c r="A60" s="3">
        <v>46031</v>
      </c>
      <c r="B60" s="3" t="s">
        <v>220</v>
      </c>
      <c r="C60" s="3">
        <v>4787.28</v>
      </c>
      <c r="D60" s="3">
        <v>80</v>
      </c>
      <c r="E60" s="3">
        <v>6</v>
      </c>
      <c r="F60" s="3">
        <v>0</v>
      </c>
      <c r="G60" s="3">
        <v>1176.07</v>
      </c>
      <c r="H60" s="3">
        <v>0</v>
      </c>
      <c r="I60" s="3">
        <v>3611.21</v>
      </c>
    </row>
    <row r="61" spans="1:9">
      <c r="A61" s="3">
        <v>46031</v>
      </c>
      <c r="B61" s="3" t="s">
        <v>222</v>
      </c>
      <c r="C61" s="3">
        <v>2686.32</v>
      </c>
      <c r="D61" s="3">
        <v>80</v>
      </c>
      <c r="E61" s="3">
        <v>6</v>
      </c>
      <c r="F61" s="3">
        <v>0</v>
      </c>
      <c r="G61" s="3">
        <v>545.16</v>
      </c>
      <c r="H61" s="3">
        <v>185</v>
      </c>
      <c r="I61" s="3">
        <v>1956.16</v>
      </c>
    </row>
    <row r="62" spans="1:9">
      <c r="A62" s="3">
        <v>46031</v>
      </c>
      <c r="B62" s="3" t="s">
        <v>225</v>
      </c>
      <c r="C62" s="3">
        <v>3713.46</v>
      </c>
      <c r="D62" s="3">
        <v>80</v>
      </c>
      <c r="E62" s="3">
        <v>0</v>
      </c>
      <c r="F62" s="3">
        <v>500</v>
      </c>
      <c r="G62" s="3">
        <v>690.86</v>
      </c>
      <c r="H62" s="3">
        <v>310</v>
      </c>
      <c r="I62" s="3">
        <v>2712.6</v>
      </c>
    </row>
    <row r="63" spans="1:9">
      <c r="A63" s="3">
        <v>46031</v>
      </c>
      <c r="B63" s="3" t="s">
        <v>227</v>
      </c>
      <c r="C63" s="3">
        <v>3881.21</v>
      </c>
      <c r="D63" s="3">
        <v>80</v>
      </c>
      <c r="E63" s="3">
        <v>0</v>
      </c>
      <c r="F63" s="3">
        <v>0</v>
      </c>
      <c r="G63" s="3">
        <v>958.71</v>
      </c>
      <c r="H63" s="3">
        <v>310</v>
      </c>
      <c r="I63" s="3">
        <v>2612.5</v>
      </c>
    </row>
    <row r="64" spans="1:9">
      <c r="A64" s="3">
        <v>46031</v>
      </c>
      <c r="B64" s="3" t="s">
        <v>229</v>
      </c>
      <c r="C64" s="3">
        <v>3169.19</v>
      </c>
      <c r="D64" s="3">
        <v>80</v>
      </c>
      <c r="E64" s="3">
        <v>6</v>
      </c>
      <c r="F64" s="3">
        <v>0</v>
      </c>
      <c r="G64" s="3">
        <v>737.73</v>
      </c>
      <c r="H64" s="3">
        <v>0</v>
      </c>
      <c r="I64" s="3">
        <v>2431.46</v>
      </c>
    </row>
    <row r="65" spans="1:9">
      <c r="A65" s="3">
        <v>46031</v>
      </c>
      <c r="B65" s="3" t="s">
        <v>231</v>
      </c>
      <c r="C65" s="3">
        <v>5230.67</v>
      </c>
      <c r="D65" s="3">
        <v>80</v>
      </c>
      <c r="E65" s="3">
        <v>6</v>
      </c>
      <c r="F65" s="3">
        <v>500</v>
      </c>
      <c r="G65" s="3">
        <v>1107.98</v>
      </c>
      <c r="H65" s="3">
        <v>0</v>
      </c>
      <c r="I65" s="3">
        <v>4122.6899999999996</v>
      </c>
    </row>
    <row r="66" spans="1:9">
      <c r="A66" s="3">
        <v>46031</v>
      </c>
      <c r="B66" s="3" t="s">
        <v>233</v>
      </c>
      <c r="C66" s="3">
        <v>5166.01</v>
      </c>
      <c r="D66" s="3">
        <v>80</v>
      </c>
      <c r="E66" s="3">
        <v>8</v>
      </c>
      <c r="F66" s="3">
        <v>500</v>
      </c>
      <c r="G66" s="3">
        <v>1063.6099999999999</v>
      </c>
      <c r="H66" s="3">
        <v>0</v>
      </c>
      <c r="I66" s="3">
        <v>4102.3999999999996</v>
      </c>
    </row>
    <row r="67" spans="1:9">
      <c r="A67" s="3">
        <v>46031</v>
      </c>
      <c r="B67" s="3" t="s">
        <v>234</v>
      </c>
      <c r="C67" s="3">
        <v>3577.31</v>
      </c>
      <c r="D67" s="3">
        <v>80</v>
      </c>
      <c r="E67" s="3">
        <v>4</v>
      </c>
      <c r="F67" s="3">
        <v>0</v>
      </c>
      <c r="G67" s="3">
        <v>807.28</v>
      </c>
      <c r="H67" s="3">
        <v>0</v>
      </c>
      <c r="I67" s="3">
        <v>2770.03</v>
      </c>
    </row>
    <row r="68" spans="1:9">
      <c r="A68" s="3">
        <v>46031</v>
      </c>
      <c r="B68" s="3" t="s">
        <v>236</v>
      </c>
      <c r="C68" s="3">
        <v>3652.96</v>
      </c>
      <c r="D68" s="3">
        <v>80</v>
      </c>
      <c r="E68" s="3">
        <v>0</v>
      </c>
      <c r="F68" s="3">
        <v>500</v>
      </c>
      <c r="G68" s="3">
        <v>936.09</v>
      </c>
      <c r="H68" s="3">
        <v>310</v>
      </c>
      <c r="I68" s="3">
        <v>2406.87</v>
      </c>
    </row>
    <row r="69" spans="1:9">
      <c r="A69" s="3">
        <v>46031</v>
      </c>
      <c r="B69" s="3" t="s">
        <v>238</v>
      </c>
      <c r="C69" s="3">
        <v>4565.04</v>
      </c>
      <c r="D69" s="3">
        <v>80</v>
      </c>
      <c r="E69" s="3">
        <v>6</v>
      </c>
      <c r="F69" s="3">
        <v>250</v>
      </c>
      <c r="G69" s="3">
        <v>1135.03</v>
      </c>
      <c r="H69" s="3">
        <v>0</v>
      </c>
      <c r="I69" s="3">
        <v>3430.01</v>
      </c>
    </row>
    <row r="70" spans="1:9">
      <c r="A70" s="3">
        <v>46031</v>
      </c>
      <c r="B70" s="3" t="s">
        <v>240</v>
      </c>
      <c r="C70" s="3">
        <v>4845.62</v>
      </c>
      <c r="D70" s="3">
        <v>80</v>
      </c>
      <c r="E70" s="3">
        <v>2</v>
      </c>
      <c r="F70" s="3">
        <v>0</v>
      </c>
      <c r="G70" s="3">
        <v>1297.22</v>
      </c>
      <c r="H70" s="3">
        <v>310</v>
      </c>
      <c r="I70" s="3">
        <v>3238.4</v>
      </c>
    </row>
    <row r="71" spans="1:9">
      <c r="A71" s="3">
        <v>46031</v>
      </c>
      <c r="B71" s="3" t="s">
        <v>242</v>
      </c>
      <c r="C71" s="3">
        <v>5079.1400000000003</v>
      </c>
      <c r="D71" s="3">
        <v>80</v>
      </c>
      <c r="E71" s="3">
        <v>0</v>
      </c>
      <c r="F71" s="3">
        <v>250</v>
      </c>
      <c r="G71" s="3">
        <v>1293.4100000000001</v>
      </c>
      <c r="H71" s="3">
        <v>310</v>
      </c>
      <c r="I71" s="3">
        <v>3475.73</v>
      </c>
    </row>
    <row r="72" spans="1:9">
      <c r="A72" s="3">
        <v>46031</v>
      </c>
      <c r="B72" s="3" t="s">
        <v>244</v>
      </c>
      <c r="C72" s="3">
        <v>4986.8900000000003</v>
      </c>
      <c r="D72" s="3">
        <v>80</v>
      </c>
      <c r="E72" s="3">
        <v>4</v>
      </c>
      <c r="F72" s="3">
        <v>0</v>
      </c>
      <c r="G72" s="3">
        <v>1213.03</v>
      </c>
      <c r="H72" s="3">
        <v>0</v>
      </c>
      <c r="I72" s="3">
        <v>3773.86</v>
      </c>
    </row>
    <row r="73" spans="1:9">
      <c r="A73" s="3">
        <v>46031</v>
      </c>
      <c r="B73" s="3" t="s">
        <v>246</v>
      </c>
      <c r="C73" s="3">
        <v>4168.53</v>
      </c>
      <c r="D73" s="3">
        <v>80</v>
      </c>
      <c r="E73" s="3">
        <v>4</v>
      </c>
      <c r="F73" s="3">
        <v>0</v>
      </c>
      <c r="G73" s="3">
        <v>818.39</v>
      </c>
      <c r="H73" s="3">
        <v>310</v>
      </c>
      <c r="I73" s="3">
        <v>3040.14</v>
      </c>
    </row>
    <row r="74" spans="1:9">
      <c r="A74" s="3">
        <v>46031</v>
      </c>
      <c r="B74" s="3" t="s">
        <v>248</v>
      </c>
      <c r="C74" s="3">
        <v>2373.25</v>
      </c>
      <c r="D74" s="3">
        <v>80</v>
      </c>
      <c r="E74" s="3">
        <v>0</v>
      </c>
      <c r="F74" s="3">
        <v>250</v>
      </c>
      <c r="G74" s="3">
        <v>442.05</v>
      </c>
      <c r="H74" s="3">
        <v>310</v>
      </c>
      <c r="I74" s="3">
        <v>1621.2</v>
      </c>
    </row>
    <row r="75" spans="1:9">
      <c r="A75" s="3">
        <v>46031</v>
      </c>
      <c r="B75" s="3" t="s">
        <v>250</v>
      </c>
      <c r="C75" s="3">
        <v>4281.54</v>
      </c>
      <c r="D75" s="3">
        <v>80</v>
      </c>
      <c r="E75" s="3">
        <v>0</v>
      </c>
      <c r="F75" s="3">
        <v>0</v>
      </c>
      <c r="G75" s="3">
        <v>853.58</v>
      </c>
      <c r="H75" s="3">
        <v>185</v>
      </c>
      <c r="I75" s="3">
        <v>3242.96</v>
      </c>
    </row>
    <row r="76" spans="1:9">
      <c r="A76" s="3">
        <v>46031</v>
      </c>
      <c r="B76" s="3" t="s">
        <v>252</v>
      </c>
      <c r="C76" s="3">
        <v>4193.93</v>
      </c>
      <c r="D76" s="3">
        <v>80</v>
      </c>
      <c r="E76" s="3">
        <v>8</v>
      </c>
      <c r="F76" s="3">
        <v>0</v>
      </c>
      <c r="G76" s="3">
        <v>894.59</v>
      </c>
      <c r="H76" s="3">
        <v>310</v>
      </c>
      <c r="I76" s="3">
        <v>2989.34</v>
      </c>
    </row>
    <row r="77" spans="1:9">
      <c r="A77" s="3">
        <v>46031</v>
      </c>
      <c r="B77" s="3" t="s">
        <v>254</v>
      </c>
      <c r="C77" s="3">
        <v>2565.37</v>
      </c>
      <c r="D77" s="3">
        <v>80</v>
      </c>
      <c r="E77" s="3">
        <v>6</v>
      </c>
      <c r="F77" s="3">
        <v>250</v>
      </c>
      <c r="G77" s="3">
        <v>665.72</v>
      </c>
      <c r="H77" s="3">
        <v>0</v>
      </c>
      <c r="I77" s="3">
        <v>1899.65</v>
      </c>
    </row>
    <row r="78" spans="1:9">
      <c r="A78" s="3">
        <v>46031</v>
      </c>
      <c r="B78" s="3" t="s">
        <v>256</v>
      </c>
      <c r="C78" s="3">
        <v>2128.1</v>
      </c>
      <c r="D78" s="3">
        <v>80</v>
      </c>
      <c r="E78" s="3">
        <v>0</v>
      </c>
      <c r="F78" s="3">
        <v>0</v>
      </c>
      <c r="G78" s="3">
        <v>392.59</v>
      </c>
      <c r="H78" s="3">
        <v>185</v>
      </c>
      <c r="I78" s="3">
        <v>1550.51</v>
      </c>
    </row>
    <row r="79" spans="1:9">
      <c r="A79" s="3">
        <v>46031</v>
      </c>
      <c r="B79" s="3" t="s">
        <v>259</v>
      </c>
      <c r="C79" s="3">
        <v>2535.62</v>
      </c>
      <c r="D79" s="3">
        <v>80</v>
      </c>
      <c r="E79" s="3">
        <v>0</v>
      </c>
      <c r="F79" s="3">
        <v>0</v>
      </c>
      <c r="G79" s="3">
        <v>553.16999999999996</v>
      </c>
      <c r="H79" s="3">
        <v>0</v>
      </c>
      <c r="I79" s="3">
        <v>1982.45</v>
      </c>
    </row>
    <row r="80" spans="1:9">
      <c r="A80" s="3">
        <v>46031</v>
      </c>
      <c r="B80" s="3" t="s">
        <v>261</v>
      </c>
      <c r="C80" s="3">
        <v>3277.19</v>
      </c>
      <c r="D80" s="3">
        <v>80</v>
      </c>
      <c r="E80" s="3">
        <v>10</v>
      </c>
      <c r="F80" s="3">
        <v>0</v>
      </c>
      <c r="G80" s="3">
        <v>812.56</v>
      </c>
      <c r="H80" s="3">
        <v>310</v>
      </c>
      <c r="I80" s="3">
        <v>2154.63</v>
      </c>
    </row>
    <row r="81" spans="1:9">
      <c r="A81" s="3">
        <v>46031</v>
      </c>
      <c r="B81" s="3" t="s">
        <v>263</v>
      </c>
      <c r="C81" s="3">
        <v>2958.04</v>
      </c>
      <c r="D81" s="3">
        <v>80</v>
      </c>
      <c r="E81" s="3">
        <v>0</v>
      </c>
      <c r="F81" s="3">
        <v>0</v>
      </c>
      <c r="G81" s="3">
        <v>607.85</v>
      </c>
      <c r="H81" s="3">
        <v>185</v>
      </c>
      <c r="I81" s="3">
        <v>2165.19</v>
      </c>
    </row>
    <row r="82" spans="1:9">
      <c r="A82" s="3">
        <v>46031</v>
      </c>
      <c r="B82" s="3" t="s">
        <v>265</v>
      </c>
      <c r="C82" s="3">
        <v>5921.89</v>
      </c>
      <c r="D82" s="3">
        <v>80</v>
      </c>
      <c r="E82" s="3">
        <v>10</v>
      </c>
      <c r="F82" s="3">
        <v>250</v>
      </c>
      <c r="G82" s="3">
        <v>1090.1500000000001</v>
      </c>
      <c r="H82" s="3">
        <v>185</v>
      </c>
      <c r="I82" s="3">
        <v>4646.74</v>
      </c>
    </row>
    <row r="83" spans="1:9">
      <c r="A83" s="3">
        <v>46031</v>
      </c>
      <c r="B83" s="3" t="s">
        <v>267</v>
      </c>
      <c r="C83" s="3">
        <v>2571.96</v>
      </c>
      <c r="D83" s="3">
        <v>80</v>
      </c>
      <c r="E83" s="3">
        <v>8</v>
      </c>
      <c r="F83" s="3">
        <v>250</v>
      </c>
      <c r="G83" s="3">
        <v>510.27</v>
      </c>
      <c r="H83" s="3">
        <v>310</v>
      </c>
      <c r="I83" s="3">
        <v>1751.69</v>
      </c>
    </row>
    <row r="84" spans="1:9">
      <c r="A84" s="3">
        <v>46031</v>
      </c>
      <c r="B84" s="3" t="s">
        <v>269</v>
      </c>
      <c r="C84" s="3">
        <v>4282.91</v>
      </c>
      <c r="D84" s="3">
        <v>80</v>
      </c>
      <c r="E84" s="3">
        <v>2</v>
      </c>
      <c r="F84" s="3">
        <v>0</v>
      </c>
      <c r="G84" s="3">
        <v>882.49</v>
      </c>
      <c r="H84" s="3">
        <v>185</v>
      </c>
      <c r="I84" s="3">
        <v>3215.42</v>
      </c>
    </row>
    <row r="85" spans="1:9">
      <c r="A85" s="3">
        <v>46031</v>
      </c>
      <c r="B85" s="3" t="s">
        <v>271</v>
      </c>
      <c r="C85" s="3">
        <v>3576.79</v>
      </c>
      <c r="D85" s="3">
        <v>80</v>
      </c>
      <c r="E85" s="3">
        <v>0</v>
      </c>
      <c r="F85" s="3">
        <v>0</v>
      </c>
      <c r="G85" s="3">
        <v>782.45</v>
      </c>
      <c r="H85" s="3">
        <v>185</v>
      </c>
      <c r="I85" s="3">
        <v>2609.34</v>
      </c>
    </row>
    <row r="86" spans="1:9">
      <c r="A86" s="3">
        <v>46031</v>
      </c>
      <c r="B86" s="3" t="s">
        <v>273</v>
      </c>
      <c r="C86" s="3">
        <v>5001.63</v>
      </c>
      <c r="D86" s="3">
        <v>80</v>
      </c>
      <c r="E86" s="3">
        <v>0</v>
      </c>
      <c r="F86" s="3">
        <v>0</v>
      </c>
      <c r="G86" s="3">
        <v>1003.88</v>
      </c>
      <c r="H86" s="3">
        <v>0</v>
      </c>
      <c r="I86" s="3">
        <v>3997.75</v>
      </c>
    </row>
    <row r="87" spans="1:9">
      <c r="A87" s="3">
        <v>46031</v>
      </c>
      <c r="B87" s="3" t="s">
        <v>276</v>
      </c>
      <c r="C87" s="3">
        <v>3375.13</v>
      </c>
      <c r="D87" s="3">
        <v>80</v>
      </c>
      <c r="E87" s="3">
        <v>6</v>
      </c>
      <c r="F87" s="3">
        <v>0</v>
      </c>
      <c r="G87" s="3">
        <v>832.93</v>
      </c>
      <c r="H87" s="3">
        <v>310</v>
      </c>
      <c r="I87" s="3">
        <v>2232.1999999999998</v>
      </c>
    </row>
    <row r="88" spans="1:9">
      <c r="A88" s="3">
        <v>46031</v>
      </c>
      <c r="B88" s="3" t="s">
        <v>278</v>
      </c>
      <c r="C88" s="3">
        <v>3359.55</v>
      </c>
      <c r="D88" s="3">
        <v>80</v>
      </c>
      <c r="E88" s="3">
        <v>8</v>
      </c>
      <c r="F88" s="3">
        <v>0</v>
      </c>
      <c r="G88" s="3">
        <v>628.26</v>
      </c>
      <c r="H88" s="3">
        <v>185</v>
      </c>
      <c r="I88" s="3">
        <v>2546.29</v>
      </c>
    </row>
    <row r="89" spans="1:9">
      <c r="A89" s="3">
        <v>46031</v>
      </c>
      <c r="B89" s="3" t="s">
        <v>280</v>
      </c>
      <c r="C89" s="3">
        <v>5124.37</v>
      </c>
      <c r="D89" s="3">
        <v>80</v>
      </c>
      <c r="E89" s="3">
        <v>6</v>
      </c>
      <c r="F89" s="3">
        <v>250</v>
      </c>
      <c r="G89" s="3">
        <v>1108.9000000000001</v>
      </c>
      <c r="H89" s="3">
        <v>310</v>
      </c>
      <c r="I89" s="3">
        <v>3705.47</v>
      </c>
    </row>
    <row r="90" spans="1:9">
      <c r="A90" s="3">
        <v>46031</v>
      </c>
      <c r="B90" s="3" t="s">
        <v>282</v>
      </c>
      <c r="C90" s="3">
        <v>5553.87</v>
      </c>
      <c r="D90" s="3">
        <v>80</v>
      </c>
      <c r="E90" s="3">
        <v>8</v>
      </c>
      <c r="F90" s="3">
        <v>0</v>
      </c>
      <c r="G90" s="3">
        <v>1010.12</v>
      </c>
      <c r="H90" s="3">
        <v>310</v>
      </c>
      <c r="I90" s="3">
        <v>4233.75</v>
      </c>
    </row>
    <row r="91" spans="1:9">
      <c r="A91" s="3">
        <v>46031</v>
      </c>
      <c r="B91" s="3" t="s">
        <v>284</v>
      </c>
      <c r="C91" s="3">
        <v>4165.51</v>
      </c>
      <c r="D91" s="3">
        <v>80</v>
      </c>
      <c r="E91" s="3">
        <v>6</v>
      </c>
      <c r="F91" s="3">
        <v>0</v>
      </c>
      <c r="G91" s="3">
        <v>981.52</v>
      </c>
      <c r="H91" s="3">
        <v>0</v>
      </c>
      <c r="I91" s="3">
        <v>3183.99</v>
      </c>
    </row>
    <row r="92" spans="1:9">
      <c r="A92" s="3">
        <v>46031</v>
      </c>
      <c r="B92" s="3" t="s">
        <v>286</v>
      </c>
      <c r="C92" s="3">
        <v>3933.37</v>
      </c>
      <c r="D92" s="3">
        <v>80</v>
      </c>
      <c r="E92" s="3">
        <v>6</v>
      </c>
      <c r="F92" s="3">
        <v>0</v>
      </c>
      <c r="G92" s="3">
        <v>745.48</v>
      </c>
      <c r="H92" s="3">
        <v>185</v>
      </c>
      <c r="I92" s="3">
        <v>3002.89</v>
      </c>
    </row>
    <row r="93" spans="1:9">
      <c r="A93" s="3">
        <v>46031</v>
      </c>
      <c r="B93" s="3" t="s">
        <v>288</v>
      </c>
      <c r="C93" s="3">
        <v>4093.13</v>
      </c>
      <c r="D93" s="3">
        <v>80</v>
      </c>
      <c r="E93" s="3">
        <v>8</v>
      </c>
      <c r="F93" s="3">
        <v>250</v>
      </c>
      <c r="G93" s="3">
        <v>765.74</v>
      </c>
      <c r="H93" s="3">
        <v>0</v>
      </c>
      <c r="I93" s="3">
        <v>3327.39</v>
      </c>
    </row>
    <row r="94" spans="1:9">
      <c r="A94" s="3">
        <v>46031</v>
      </c>
      <c r="B94" s="3" t="s">
        <v>290</v>
      </c>
      <c r="C94" s="3">
        <v>3841</v>
      </c>
      <c r="D94" s="3">
        <v>80</v>
      </c>
      <c r="E94" s="3">
        <v>4</v>
      </c>
      <c r="F94" s="3">
        <v>500</v>
      </c>
      <c r="G94" s="3">
        <v>806.52</v>
      </c>
      <c r="H94" s="3">
        <v>310</v>
      </c>
      <c r="I94" s="3">
        <v>2724.48</v>
      </c>
    </row>
    <row r="95" spans="1:9">
      <c r="A95" s="3">
        <v>46031</v>
      </c>
      <c r="B95" s="3" t="s">
        <v>292</v>
      </c>
      <c r="C95" s="3">
        <v>4692.83</v>
      </c>
      <c r="D95" s="3">
        <v>80</v>
      </c>
      <c r="E95" s="3">
        <v>0</v>
      </c>
      <c r="F95" s="3">
        <v>0</v>
      </c>
      <c r="G95" s="3">
        <v>892.87</v>
      </c>
      <c r="H95" s="3">
        <v>310</v>
      </c>
      <c r="I95" s="3">
        <v>3489.96</v>
      </c>
    </row>
    <row r="96" spans="1:9">
      <c r="A96" s="3">
        <v>46031</v>
      </c>
      <c r="B96" s="3" t="s">
        <v>294</v>
      </c>
      <c r="C96" s="3">
        <v>3504.1</v>
      </c>
      <c r="D96" s="3">
        <v>80</v>
      </c>
      <c r="E96" s="3">
        <v>2</v>
      </c>
      <c r="F96" s="3">
        <v>0</v>
      </c>
      <c r="G96" s="3">
        <v>932.93</v>
      </c>
      <c r="H96" s="3">
        <v>310</v>
      </c>
      <c r="I96" s="3">
        <v>2261.17</v>
      </c>
    </row>
    <row r="97" spans="1:9">
      <c r="A97" s="3">
        <v>46031</v>
      </c>
      <c r="B97" s="3" t="s">
        <v>296</v>
      </c>
      <c r="C97" s="3">
        <v>2518.6</v>
      </c>
      <c r="D97" s="3">
        <v>80</v>
      </c>
      <c r="E97" s="3">
        <v>0</v>
      </c>
      <c r="F97" s="3">
        <v>0</v>
      </c>
      <c r="G97" s="3">
        <v>511.37</v>
      </c>
      <c r="H97" s="3">
        <v>185</v>
      </c>
      <c r="I97" s="3">
        <v>1822.23</v>
      </c>
    </row>
    <row r="98" spans="1:9">
      <c r="A98" s="3">
        <v>46031</v>
      </c>
      <c r="B98" s="3" t="s">
        <v>298</v>
      </c>
      <c r="C98" s="3">
        <v>3694.18</v>
      </c>
      <c r="D98" s="3">
        <v>80</v>
      </c>
      <c r="E98" s="3">
        <v>0</v>
      </c>
      <c r="F98" s="3">
        <v>250</v>
      </c>
      <c r="G98" s="3">
        <v>917.35</v>
      </c>
      <c r="H98" s="3">
        <v>185</v>
      </c>
      <c r="I98" s="3">
        <v>2591.83</v>
      </c>
    </row>
    <row r="99" spans="1:9">
      <c r="A99" s="3">
        <v>46031</v>
      </c>
      <c r="B99" s="3" t="s">
        <v>300</v>
      </c>
      <c r="C99" s="3">
        <v>4561.0200000000004</v>
      </c>
      <c r="D99" s="3">
        <v>80</v>
      </c>
      <c r="E99" s="3">
        <v>0</v>
      </c>
      <c r="F99" s="3">
        <v>0</v>
      </c>
      <c r="G99" s="3">
        <v>1078.75</v>
      </c>
      <c r="H99" s="3">
        <v>310</v>
      </c>
      <c r="I99" s="3">
        <v>3172.27</v>
      </c>
    </row>
    <row r="100" spans="1:9">
      <c r="A100" s="3">
        <v>46031</v>
      </c>
      <c r="B100" s="3" t="s">
        <v>302</v>
      </c>
      <c r="C100" s="3">
        <v>6200.49</v>
      </c>
      <c r="D100" s="3">
        <v>80</v>
      </c>
      <c r="E100" s="3">
        <v>10</v>
      </c>
      <c r="F100" s="3">
        <v>250</v>
      </c>
      <c r="G100" s="3">
        <v>1366.6</v>
      </c>
      <c r="H100" s="3">
        <v>0</v>
      </c>
      <c r="I100" s="3">
        <v>4833.8900000000003</v>
      </c>
    </row>
    <row r="101" spans="1:9">
      <c r="A101" s="3">
        <v>46031</v>
      </c>
      <c r="B101" s="3" t="s">
        <v>304</v>
      </c>
      <c r="C101" s="3">
        <v>3999.44</v>
      </c>
      <c r="D101" s="3">
        <v>80</v>
      </c>
      <c r="E101" s="3">
        <v>6</v>
      </c>
      <c r="F101" s="3">
        <v>500</v>
      </c>
      <c r="G101" s="3">
        <v>878.19</v>
      </c>
      <c r="H101" s="3">
        <v>185</v>
      </c>
      <c r="I101" s="3">
        <v>2936.25</v>
      </c>
    </row>
    <row r="102" spans="1:9">
      <c r="A102" s="3">
        <v>46031</v>
      </c>
      <c r="B102" s="3" t="s">
        <v>306</v>
      </c>
      <c r="C102" s="3">
        <v>4071.5</v>
      </c>
      <c r="D102" s="3">
        <v>80</v>
      </c>
      <c r="E102" s="3">
        <v>10</v>
      </c>
      <c r="F102" s="3">
        <v>0</v>
      </c>
      <c r="G102" s="3">
        <v>1024.67</v>
      </c>
      <c r="H102" s="3">
        <v>185</v>
      </c>
      <c r="I102" s="3">
        <v>2861.83</v>
      </c>
    </row>
    <row r="103" spans="1:9">
      <c r="A103" s="3">
        <v>46031</v>
      </c>
      <c r="B103" s="3" t="s">
        <v>308</v>
      </c>
      <c r="C103" s="3">
        <v>3115.75</v>
      </c>
      <c r="D103" s="3">
        <v>80</v>
      </c>
      <c r="E103" s="3">
        <v>0</v>
      </c>
      <c r="F103" s="3">
        <v>0</v>
      </c>
      <c r="G103" s="3">
        <v>647.88</v>
      </c>
      <c r="H103" s="3">
        <v>310</v>
      </c>
      <c r="I103" s="3">
        <v>2157.87</v>
      </c>
    </row>
    <row r="104" spans="1:9">
      <c r="A104" s="3">
        <v>46031</v>
      </c>
      <c r="B104" s="3" t="s">
        <v>310</v>
      </c>
      <c r="C104" s="3">
        <v>3631.66</v>
      </c>
      <c r="D104" s="3">
        <v>80</v>
      </c>
      <c r="E104" s="3">
        <v>10</v>
      </c>
      <c r="F104" s="3">
        <v>0</v>
      </c>
      <c r="G104" s="3">
        <v>925.54</v>
      </c>
      <c r="H104" s="3">
        <v>0</v>
      </c>
      <c r="I104" s="3">
        <v>2706.12</v>
      </c>
    </row>
    <row r="105" spans="1:9">
      <c r="A105" s="3">
        <v>46031</v>
      </c>
      <c r="B105" s="3" t="s">
        <v>312</v>
      </c>
      <c r="C105" s="3">
        <v>4018.21</v>
      </c>
      <c r="D105" s="3">
        <v>80</v>
      </c>
      <c r="E105" s="3">
        <v>0</v>
      </c>
      <c r="F105" s="3">
        <v>500</v>
      </c>
      <c r="G105" s="3">
        <v>1032.5899999999999</v>
      </c>
      <c r="H105" s="3">
        <v>0</v>
      </c>
      <c r="I105" s="3">
        <v>2985.62</v>
      </c>
    </row>
    <row r="106" spans="1:9">
      <c r="A106" s="3">
        <v>46031</v>
      </c>
      <c r="B106" s="3" t="s">
        <v>314</v>
      </c>
      <c r="C106" s="3">
        <v>3807.91</v>
      </c>
      <c r="D106" s="3">
        <v>80</v>
      </c>
      <c r="E106" s="3">
        <v>8</v>
      </c>
      <c r="F106" s="3">
        <v>0</v>
      </c>
      <c r="G106" s="3">
        <v>1012.45</v>
      </c>
      <c r="H106" s="3">
        <v>0</v>
      </c>
      <c r="I106" s="3">
        <v>2795.46</v>
      </c>
    </row>
    <row r="107" spans="1:9">
      <c r="A107" s="3">
        <v>46031</v>
      </c>
      <c r="B107" s="3" t="s">
        <v>317</v>
      </c>
      <c r="C107" s="3">
        <v>3597.37</v>
      </c>
      <c r="D107" s="3">
        <v>80</v>
      </c>
      <c r="E107" s="3">
        <v>0</v>
      </c>
      <c r="F107" s="3">
        <v>0</v>
      </c>
      <c r="G107" s="3">
        <v>832.61</v>
      </c>
      <c r="H107" s="3">
        <v>0</v>
      </c>
      <c r="I107" s="3">
        <v>2764.76</v>
      </c>
    </row>
    <row r="108" spans="1:9">
      <c r="A108" s="3">
        <v>46031</v>
      </c>
      <c r="B108" s="3" t="s">
        <v>319</v>
      </c>
      <c r="C108" s="3">
        <v>3436.99</v>
      </c>
      <c r="D108" s="3">
        <v>80</v>
      </c>
      <c r="E108" s="3">
        <v>2</v>
      </c>
      <c r="F108" s="3">
        <v>0</v>
      </c>
      <c r="G108" s="3">
        <v>773.75</v>
      </c>
      <c r="H108" s="3">
        <v>0</v>
      </c>
      <c r="I108" s="3">
        <v>2663.24</v>
      </c>
    </row>
    <row r="109" spans="1:9">
      <c r="A109" s="3">
        <v>46031</v>
      </c>
      <c r="B109" s="3" t="s">
        <v>321</v>
      </c>
      <c r="C109" s="3">
        <v>3326.33</v>
      </c>
      <c r="D109" s="3">
        <v>80</v>
      </c>
      <c r="E109" s="3">
        <v>0</v>
      </c>
      <c r="F109" s="3">
        <v>0</v>
      </c>
      <c r="G109" s="3">
        <v>867.91</v>
      </c>
      <c r="H109" s="3">
        <v>185</v>
      </c>
      <c r="I109" s="3">
        <v>2273.42</v>
      </c>
    </row>
    <row r="110" spans="1:9">
      <c r="A110" s="3">
        <v>46031</v>
      </c>
      <c r="B110" s="3" t="s">
        <v>323</v>
      </c>
      <c r="C110" s="3">
        <v>4929.22</v>
      </c>
      <c r="D110" s="3">
        <v>80</v>
      </c>
      <c r="E110" s="3">
        <v>6</v>
      </c>
      <c r="F110" s="3">
        <v>500</v>
      </c>
      <c r="G110" s="3">
        <v>1173.9000000000001</v>
      </c>
      <c r="H110" s="3">
        <v>310</v>
      </c>
      <c r="I110" s="3">
        <v>3445.32</v>
      </c>
    </row>
    <row r="111" spans="1:9">
      <c r="A111" s="3">
        <v>46031</v>
      </c>
      <c r="B111" s="3" t="s">
        <v>324</v>
      </c>
      <c r="C111" s="3">
        <v>3395</v>
      </c>
      <c r="D111" s="3">
        <v>80</v>
      </c>
      <c r="E111" s="3">
        <v>0</v>
      </c>
      <c r="F111" s="3">
        <v>0</v>
      </c>
      <c r="G111" s="3">
        <v>913.9</v>
      </c>
      <c r="H111" s="3">
        <v>0</v>
      </c>
      <c r="I111" s="3">
        <v>2481.1</v>
      </c>
    </row>
    <row r="112" spans="1:9">
      <c r="A112" s="3">
        <v>46031</v>
      </c>
      <c r="B112" s="3" t="s">
        <v>326</v>
      </c>
      <c r="C112" s="3">
        <v>3224.41</v>
      </c>
      <c r="D112" s="3">
        <v>80</v>
      </c>
      <c r="E112" s="3">
        <v>0</v>
      </c>
      <c r="F112" s="3">
        <v>0</v>
      </c>
      <c r="G112" s="3">
        <v>662.49</v>
      </c>
      <c r="H112" s="3">
        <v>310</v>
      </c>
      <c r="I112" s="3">
        <v>2251.92</v>
      </c>
    </row>
    <row r="113" spans="1:9">
      <c r="A113" s="3">
        <v>46031</v>
      </c>
      <c r="B113" s="3" t="s">
        <v>328</v>
      </c>
      <c r="C113" s="3">
        <v>4608.9399999999996</v>
      </c>
      <c r="D113" s="3">
        <v>80</v>
      </c>
      <c r="E113" s="3">
        <v>8</v>
      </c>
      <c r="F113" s="3">
        <v>0</v>
      </c>
      <c r="G113" s="3">
        <v>851.33</v>
      </c>
      <c r="H113" s="3">
        <v>185</v>
      </c>
      <c r="I113" s="3">
        <v>3572.61</v>
      </c>
    </row>
    <row r="114" spans="1:9">
      <c r="A114" s="3">
        <v>46031</v>
      </c>
      <c r="B114" s="3" t="s">
        <v>330</v>
      </c>
      <c r="C114" s="3">
        <v>3671.32</v>
      </c>
      <c r="D114" s="3">
        <v>80</v>
      </c>
      <c r="E114" s="3">
        <v>6</v>
      </c>
      <c r="F114" s="3">
        <v>0</v>
      </c>
      <c r="G114" s="3">
        <v>845.2</v>
      </c>
      <c r="H114" s="3">
        <v>0</v>
      </c>
      <c r="I114" s="3">
        <v>2826.12</v>
      </c>
    </row>
    <row r="115" spans="1:9">
      <c r="A115" s="3">
        <v>46031</v>
      </c>
      <c r="B115" s="3" t="s">
        <v>331</v>
      </c>
      <c r="C115" s="3">
        <v>4012.6</v>
      </c>
      <c r="D115" s="3">
        <v>80</v>
      </c>
      <c r="E115" s="3">
        <v>8</v>
      </c>
      <c r="F115" s="3">
        <v>0</v>
      </c>
      <c r="G115" s="3">
        <v>1029.8</v>
      </c>
      <c r="H115" s="3">
        <v>0</v>
      </c>
      <c r="I115" s="3">
        <v>2982.8</v>
      </c>
    </row>
    <row r="116" spans="1:9">
      <c r="A116" s="3">
        <v>46031</v>
      </c>
      <c r="B116" s="3" t="s">
        <v>333</v>
      </c>
      <c r="C116" s="3">
        <v>2709.85</v>
      </c>
      <c r="D116" s="3">
        <v>80</v>
      </c>
      <c r="E116" s="3">
        <v>0</v>
      </c>
      <c r="F116" s="3">
        <v>0</v>
      </c>
      <c r="G116" s="3">
        <v>649.62</v>
      </c>
      <c r="H116" s="3">
        <v>310</v>
      </c>
      <c r="I116" s="3">
        <v>1750.23</v>
      </c>
    </row>
    <row r="117" spans="1:9">
      <c r="A117" s="3">
        <v>46031</v>
      </c>
      <c r="B117" s="3" t="s">
        <v>335</v>
      </c>
      <c r="C117" s="3">
        <v>4730.07</v>
      </c>
      <c r="D117" s="3">
        <v>80</v>
      </c>
      <c r="E117" s="3">
        <v>6</v>
      </c>
      <c r="F117" s="3">
        <v>0</v>
      </c>
      <c r="G117" s="3">
        <v>1148.76</v>
      </c>
      <c r="H117" s="3">
        <v>0</v>
      </c>
      <c r="I117" s="3">
        <v>3581.31</v>
      </c>
    </row>
    <row r="118" spans="1:9">
      <c r="A118" s="3">
        <v>46031</v>
      </c>
      <c r="B118" s="3" t="s">
        <v>337</v>
      </c>
      <c r="C118" s="3">
        <v>5135.53</v>
      </c>
      <c r="D118" s="3">
        <v>80</v>
      </c>
      <c r="E118" s="3">
        <v>8</v>
      </c>
      <c r="F118" s="3">
        <v>0</v>
      </c>
      <c r="G118" s="3">
        <v>1357.94</v>
      </c>
      <c r="H118" s="3">
        <v>310</v>
      </c>
      <c r="I118" s="3">
        <v>3467.59</v>
      </c>
    </row>
    <row r="119" spans="1:9">
      <c r="A119" s="3">
        <v>46031</v>
      </c>
      <c r="B119" s="3" t="s">
        <v>339</v>
      </c>
      <c r="C119" s="3">
        <v>4750.54</v>
      </c>
      <c r="D119" s="3">
        <v>80</v>
      </c>
      <c r="E119" s="3">
        <v>4</v>
      </c>
      <c r="F119" s="3">
        <v>250</v>
      </c>
      <c r="G119" s="3">
        <v>1193.57</v>
      </c>
      <c r="H119" s="3">
        <v>0</v>
      </c>
      <c r="I119" s="3">
        <v>3556.97</v>
      </c>
    </row>
    <row r="120" spans="1:9">
      <c r="A120" s="3">
        <v>46031</v>
      </c>
      <c r="B120" s="3" t="s">
        <v>341</v>
      </c>
      <c r="C120" s="3">
        <v>5317.83</v>
      </c>
      <c r="D120" s="3">
        <v>80</v>
      </c>
      <c r="E120" s="3">
        <v>0</v>
      </c>
      <c r="F120" s="3">
        <v>500</v>
      </c>
      <c r="G120" s="3">
        <v>1410.5</v>
      </c>
      <c r="H120" s="3">
        <v>310</v>
      </c>
      <c r="I120" s="3">
        <v>3597.33</v>
      </c>
    </row>
    <row r="121" spans="1:9">
      <c r="A121" s="3">
        <v>46031</v>
      </c>
      <c r="B121" s="3" t="s">
        <v>343</v>
      </c>
      <c r="C121" s="3">
        <v>3239.29</v>
      </c>
      <c r="D121" s="3">
        <v>80</v>
      </c>
      <c r="E121" s="3">
        <v>0</v>
      </c>
      <c r="F121" s="3">
        <v>500</v>
      </c>
      <c r="G121" s="3">
        <v>731.31</v>
      </c>
      <c r="H121" s="3">
        <v>310</v>
      </c>
      <c r="I121" s="3">
        <v>2197.98</v>
      </c>
    </row>
    <row r="122" spans="1:9">
      <c r="A122" s="3">
        <v>46031</v>
      </c>
      <c r="B122" s="3" t="s">
        <v>345</v>
      </c>
      <c r="C122" s="3">
        <v>4567.3599999999997</v>
      </c>
      <c r="D122" s="3">
        <v>80</v>
      </c>
      <c r="E122" s="3">
        <v>0</v>
      </c>
      <c r="F122" s="3">
        <v>0</v>
      </c>
      <c r="G122" s="3">
        <v>1213.1099999999999</v>
      </c>
      <c r="H122" s="3">
        <v>310</v>
      </c>
      <c r="I122" s="3">
        <v>3044.25</v>
      </c>
    </row>
    <row r="123" spans="1:9">
      <c r="A123" s="3">
        <v>46031</v>
      </c>
      <c r="B123" s="3" t="s">
        <v>348</v>
      </c>
      <c r="C123" s="3">
        <v>4776.9399999999996</v>
      </c>
      <c r="D123" s="3">
        <v>80</v>
      </c>
      <c r="E123" s="3">
        <v>6</v>
      </c>
      <c r="F123" s="3">
        <v>0</v>
      </c>
      <c r="G123" s="3">
        <v>1289.76</v>
      </c>
      <c r="H123" s="3">
        <v>310</v>
      </c>
      <c r="I123" s="3">
        <v>3177.18</v>
      </c>
    </row>
    <row r="124" spans="1:9">
      <c r="A124" s="3">
        <v>46031</v>
      </c>
      <c r="B124" s="3" t="s">
        <v>350</v>
      </c>
      <c r="C124" s="3">
        <v>4605.17</v>
      </c>
      <c r="D124" s="3">
        <v>80</v>
      </c>
      <c r="E124" s="3">
        <v>0</v>
      </c>
      <c r="F124" s="3">
        <v>0</v>
      </c>
      <c r="G124" s="3">
        <v>1155.58</v>
      </c>
      <c r="H124" s="3">
        <v>310</v>
      </c>
      <c r="I124" s="3">
        <v>3139.59</v>
      </c>
    </row>
    <row r="125" spans="1:9">
      <c r="A125" s="3">
        <v>46031</v>
      </c>
      <c r="B125" s="3" t="s">
        <v>352</v>
      </c>
      <c r="C125" s="3">
        <v>3645.69</v>
      </c>
      <c r="D125" s="3">
        <v>80</v>
      </c>
      <c r="E125" s="3">
        <v>0</v>
      </c>
      <c r="F125" s="3">
        <v>500</v>
      </c>
      <c r="G125" s="3">
        <v>907.66</v>
      </c>
      <c r="H125" s="3">
        <v>0</v>
      </c>
      <c r="I125" s="3">
        <v>2738.03</v>
      </c>
    </row>
    <row r="126" spans="1:9">
      <c r="A126" s="3">
        <v>46031</v>
      </c>
      <c r="B126" s="3" t="s">
        <v>354</v>
      </c>
      <c r="C126" s="3">
        <v>4397.6899999999996</v>
      </c>
      <c r="D126" s="3">
        <v>80</v>
      </c>
      <c r="E126" s="3">
        <v>0</v>
      </c>
      <c r="F126" s="3">
        <v>250</v>
      </c>
      <c r="G126" s="3">
        <v>855.8</v>
      </c>
      <c r="H126" s="3">
        <v>185</v>
      </c>
      <c r="I126" s="3">
        <v>3356.89</v>
      </c>
    </row>
    <row r="127" spans="1:9">
      <c r="A127" s="3">
        <v>46045</v>
      </c>
      <c r="B127" s="3" t="s">
        <v>50</v>
      </c>
      <c r="C127" s="3">
        <v>3573.8</v>
      </c>
      <c r="D127" s="3">
        <v>80</v>
      </c>
      <c r="E127" s="3">
        <v>0</v>
      </c>
      <c r="F127" s="3">
        <v>500</v>
      </c>
      <c r="G127" s="3">
        <v>775.43</v>
      </c>
      <c r="H127" s="3">
        <v>185</v>
      </c>
      <c r="I127" s="3">
        <v>2613.37</v>
      </c>
    </row>
    <row r="128" spans="1:9">
      <c r="A128" s="3">
        <v>46045</v>
      </c>
      <c r="B128" s="3" t="s">
        <v>59</v>
      </c>
      <c r="C128" s="3">
        <v>2200.23</v>
      </c>
      <c r="D128" s="3">
        <v>80</v>
      </c>
      <c r="E128" s="3">
        <v>2</v>
      </c>
      <c r="F128" s="3">
        <v>0</v>
      </c>
      <c r="G128" s="3">
        <v>545.03</v>
      </c>
      <c r="H128" s="3">
        <v>185</v>
      </c>
      <c r="I128" s="3">
        <v>1470.2</v>
      </c>
    </row>
    <row r="129" spans="1:9">
      <c r="A129" s="3">
        <v>46045</v>
      </c>
      <c r="B129" s="3" t="s">
        <v>63</v>
      </c>
      <c r="C129" s="3">
        <v>4797.3599999999997</v>
      </c>
      <c r="D129" s="3">
        <v>80</v>
      </c>
      <c r="E129" s="3">
        <v>10</v>
      </c>
      <c r="F129" s="3">
        <v>0</v>
      </c>
      <c r="G129" s="3">
        <v>997.14</v>
      </c>
      <c r="H129" s="3">
        <v>185</v>
      </c>
      <c r="I129" s="3">
        <v>3615.22</v>
      </c>
    </row>
    <row r="130" spans="1:9">
      <c r="A130" s="3">
        <v>46045</v>
      </c>
      <c r="B130" s="3" t="s">
        <v>70</v>
      </c>
      <c r="C130" s="3">
        <v>3966.99</v>
      </c>
      <c r="D130" s="3">
        <v>80</v>
      </c>
      <c r="E130" s="3">
        <v>10</v>
      </c>
      <c r="F130" s="3">
        <v>0</v>
      </c>
      <c r="G130" s="3">
        <v>1052.21</v>
      </c>
      <c r="H130" s="3">
        <v>185</v>
      </c>
      <c r="I130" s="3">
        <v>2729.78</v>
      </c>
    </row>
    <row r="131" spans="1:9">
      <c r="A131" s="3">
        <v>46045</v>
      </c>
      <c r="B131" s="3" t="s">
        <v>73</v>
      </c>
      <c r="C131" s="3">
        <v>4443.6899999999996</v>
      </c>
      <c r="D131" s="3">
        <v>80</v>
      </c>
      <c r="E131" s="3">
        <v>10</v>
      </c>
      <c r="F131" s="3">
        <v>0</v>
      </c>
      <c r="G131" s="3">
        <v>1111.06</v>
      </c>
      <c r="H131" s="3">
        <v>310</v>
      </c>
      <c r="I131" s="3">
        <v>3022.63</v>
      </c>
    </row>
    <row r="132" spans="1:9">
      <c r="A132" s="3">
        <v>46045</v>
      </c>
      <c r="B132" s="3" t="s">
        <v>75</v>
      </c>
      <c r="C132" s="3">
        <v>2979.28</v>
      </c>
      <c r="D132" s="3">
        <v>80</v>
      </c>
      <c r="E132" s="3">
        <v>8</v>
      </c>
      <c r="F132" s="3">
        <v>0</v>
      </c>
      <c r="G132" s="3">
        <v>751.12</v>
      </c>
      <c r="H132" s="3">
        <v>310</v>
      </c>
      <c r="I132" s="3">
        <v>1918.16</v>
      </c>
    </row>
    <row r="133" spans="1:9">
      <c r="A133" s="3">
        <v>46045</v>
      </c>
      <c r="B133" s="3" t="s">
        <v>78</v>
      </c>
      <c r="C133" s="3">
        <v>2169.92</v>
      </c>
      <c r="D133" s="3">
        <v>80</v>
      </c>
      <c r="E133" s="3">
        <v>0</v>
      </c>
      <c r="F133" s="3">
        <v>0</v>
      </c>
      <c r="G133" s="3">
        <v>484.44</v>
      </c>
      <c r="H133" s="3">
        <v>0</v>
      </c>
      <c r="I133" s="3">
        <v>1685.48</v>
      </c>
    </row>
    <row r="134" spans="1:9">
      <c r="A134" s="3">
        <v>46045</v>
      </c>
      <c r="B134" s="3" t="s">
        <v>82</v>
      </c>
      <c r="C134" s="3">
        <v>3994.33</v>
      </c>
      <c r="D134" s="3">
        <v>80</v>
      </c>
      <c r="E134" s="3">
        <v>6</v>
      </c>
      <c r="F134" s="3">
        <v>250</v>
      </c>
      <c r="G134" s="3">
        <v>974.72</v>
      </c>
      <c r="H134" s="3">
        <v>310</v>
      </c>
      <c r="I134" s="3">
        <v>2709.61</v>
      </c>
    </row>
    <row r="135" spans="1:9">
      <c r="A135" s="3">
        <v>46045</v>
      </c>
      <c r="B135" s="3" t="s">
        <v>86</v>
      </c>
      <c r="C135" s="3">
        <v>4940.7299999999996</v>
      </c>
      <c r="D135" s="3">
        <v>80</v>
      </c>
      <c r="E135" s="3">
        <v>0</v>
      </c>
      <c r="F135" s="3">
        <v>0</v>
      </c>
      <c r="G135" s="3">
        <v>960.62</v>
      </c>
      <c r="H135" s="3">
        <v>0</v>
      </c>
      <c r="I135" s="3">
        <v>3980.11</v>
      </c>
    </row>
    <row r="136" spans="1:9">
      <c r="A136" s="3">
        <v>46045</v>
      </c>
      <c r="B136" s="3" t="s">
        <v>89</v>
      </c>
      <c r="C136" s="3">
        <v>4160.3100000000004</v>
      </c>
      <c r="D136" s="3">
        <v>80</v>
      </c>
      <c r="E136" s="3">
        <v>10</v>
      </c>
      <c r="F136" s="3">
        <v>250</v>
      </c>
      <c r="G136" s="3">
        <v>912.66</v>
      </c>
      <c r="H136" s="3">
        <v>0</v>
      </c>
      <c r="I136" s="3">
        <v>3247.65</v>
      </c>
    </row>
    <row r="137" spans="1:9">
      <c r="A137" s="3">
        <v>46045</v>
      </c>
      <c r="B137" s="3" t="s">
        <v>94</v>
      </c>
      <c r="C137" s="3">
        <v>3690.38</v>
      </c>
      <c r="D137" s="3">
        <v>80</v>
      </c>
      <c r="E137" s="3">
        <v>2</v>
      </c>
      <c r="F137" s="3">
        <v>0</v>
      </c>
      <c r="G137" s="3">
        <v>973.31</v>
      </c>
      <c r="H137" s="3">
        <v>310</v>
      </c>
      <c r="I137" s="3">
        <v>2407.0700000000002</v>
      </c>
    </row>
    <row r="138" spans="1:9">
      <c r="A138" s="3">
        <v>46045</v>
      </c>
      <c r="B138" s="3" t="s">
        <v>96</v>
      </c>
      <c r="C138" s="3">
        <v>4860.1499999999996</v>
      </c>
      <c r="D138" s="3">
        <v>80</v>
      </c>
      <c r="E138" s="3">
        <v>8</v>
      </c>
      <c r="F138" s="3">
        <v>0</v>
      </c>
      <c r="G138" s="3">
        <v>1038.4000000000001</v>
      </c>
      <c r="H138" s="3">
        <v>185</v>
      </c>
      <c r="I138" s="3">
        <v>3636.75</v>
      </c>
    </row>
    <row r="139" spans="1:9">
      <c r="A139" s="3">
        <v>46045</v>
      </c>
      <c r="B139" s="3" t="s">
        <v>98</v>
      </c>
      <c r="C139" s="3">
        <v>5566.86</v>
      </c>
      <c r="D139" s="3">
        <v>80</v>
      </c>
      <c r="E139" s="3">
        <v>8</v>
      </c>
      <c r="F139" s="3">
        <v>0</v>
      </c>
      <c r="G139" s="3">
        <v>1016.16</v>
      </c>
      <c r="H139" s="3">
        <v>310</v>
      </c>
      <c r="I139" s="3">
        <v>4240.7</v>
      </c>
    </row>
    <row r="140" spans="1:9">
      <c r="A140" s="3">
        <v>46045</v>
      </c>
      <c r="B140" s="3" t="s">
        <v>106</v>
      </c>
      <c r="C140" s="3">
        <v>3238.27</v>
      </c>
      <c r="D140" s="3">
        <v>80</v>
      </c>
      <c r="E140" s="3">
        <v>0</v>
      </c>
      <c r="F140" s="3">
        <v>500</v>
      </c>
      <c r="G140" s="3">
        <v>813.53</v>
      </c>
      <c r="H140" s="3">
        <v>0</v>
      </c>
      <c r="I140" s="3">
        <v>2424.7399999999998</v>
      </c>
    </row>
    <row r="141" spans="1:9">
      <c r="A141" s="3">
        <v>46045</v>
      </c>
      <c r="B141" s="3" t="s">
        <v>111</v>
      </c>
      <c r="C141" s="3">
        <v>4566.26</v>
      </c>
      <c r="D141" s="3">
        <v>80</v>
      </c>
      <c r="E141" s="3">
        <v>0</v>
      </c>
      <c r="F141" s="3">
        <v>0</v>
      </c>
      <c r="G141" s="3">
        <v>1162.93</v>
      </c>
      <c r="H141" s="3">
        <v>310</v>
      </c>
      <c r="I141" s="3">
        <v>3093.33</v>
      </c>
    </row>
    <row r="142" spans="1:9">
      <c r="A142" s="3">
        <v>46045</v>
      </c>
      <c r="B142" s="3" t="s">
        <v>115</v>
      </c>
      <c r="C142" s="3">
        <v>4152.3100000000004</v>
      </c>
      <c r="D142" s="3">
        <v>80</v>
      </c>
      <c r="E142" s="3">
        <v>0</v>
      </c>
      <c r="F142" s="3">
        <v>500</v>
      </c>
      <c r="G142" s="3">
        <v>977.38</v>
      </c>
      <c r="H142" s="3">
        <v>185</v>
      </c>
      <c r="I142" s="3">
        <v>2989.93</v>
      </c>
    </row>
    <row r="143" spans="1:9">
      <c r="A143" s="3">
        <v>46045</v>
      </c>
      <c r="B143" s="3" t="s">
        <v>118</v>
      </c>
      <c r="C143" s="3">
        <v>2833.95</v>
      </c>
      <c r="D143" s="3">
        <v>80</v>
      </c>
      <c r="E143" s="3">
        <v>0</v>
      </c>
      <c r="F143" s="3">
        <v>0</v>
      </c>
      <c r="G143" s="3">
        <v>723.07</v>
      </c>
      <c r="H143" s="3">
        <v>0</v>
      </c>
      <c r="I143" s="3">
        <v>2110.88</v>
      </c>
    </row>
    <row r="144" spans="1:9">
      <c r="A144" s="3">
        <v>46045</v>
      </c>
      <c r="B144" s="3" t="s">
        <v>120</v>
      </c>
      <c r="C144" s="3">
        <v>5365.7</v>
      </c>
      <c r="D144" s="3">
        <v>80</v>
      </c>
      <c r="E144" s="3">
        <v>8</v>
      </c>
      <c r="F144" s="3">
        <v>0</v>
      </c>
      <c r="G144" s="3">
        <v>1080.5899999999999</v>
      </c>
      <c r="H144" s="3">
        <v>0</v>
      </c>
      <c r="I144" s="3">
        <v>4285.1099999999997</v>
      </c>
    </row>
    <row r="145" spans="1:9">
      <c r="A145" s="3">
        <v>46045</v>
      </c>
      <c r="B145" s="3" t="s">
        <v>123</v>
      </c>
      <c r="C145" s="3">
        <v>3486.92</v>
      </c>
      <c r="D145" s="3">
        <v>80</v>
      </c>
      <c r="E145" s="3">
        <v>0</v>
      </c>
      <c r="F145" s="3">
        <v>0</v>
      </c>
      <c r="G145" s="3">
        <v>828.16</v>
      </c>
      <c r="H145" s="3">
        <v>185</v>
      </c>
      <c r="I145" s="3">
        <v>2473.7600000000002</v>
      </c>
    </row>
    <row r="146" spans="1:9">
      <c r="A146" s="3">
        <v>46045</v>
      </c>
      <c r="B146" s="3" t="s">
        <v>125</v>
      </c>
      <c r="C146" s="3">
        <v>5461.27</v>
      </c>
      <c r="D146" s="3">
        <v>80</v>
      </c>
      <c r="E146" s="3">
        <v>10</v>
      </c>
      <c r="F146" s="3">
        <v>0</v>
      </c>
      <c r="G146" s="3">
        <v>1427.92</v>
      </c>
      <c r="H146" s="3">
        <v>185</v>
      </c>
      <c r="I146" s="3">
        <v>3848.35</v>
      </c>
    </row>
    <row r="147" spans="1:9">
      <c r="A147" s="3">
        <v>46045</v>
      </c>
      <c r="B147" s="3" t="s">
        <v>127</v>
      </c>
      <c r="C147" s="3">
        <v>3539.23</v>
      </c>
      <c r="D147" s="3">
        <v>80</v>
      </c>
      <c r="E147" s="3">
        <v>0</v>
      </c>
      <c r="F147" s="3">
        <v>500</v>
      </c>
      <c r="G147" s="3">
        <v>714.13</v>
      </c>
      <c r="H147" s="3">
        <v>0</v>
      </c>
      <c r="I147" s="3">
        <v>2825.1</v>
      </c>
    </row>
    <row r="148" spans="1:9">
      <c r="A148" s="3">
        <v>46045</v>
      </c>
      <c r="B148" s="3" t="s">
        <v>131</v>
      </c>
      <c r="C148" s="3">
        <v>4534.92</v>
      </c>
      <c r="D148" s="3">
        <v>80</v>
      </c>
      <c r="E148" s="3">
        <v>0</v>
      </c>
      <c r="F148" s="3">
        <v>0</v>
      </c>
      <c r="G148" s="3">
        <v>1067.22</v>
      </c>
      <c r="H148" s="3">
        <v>310</v>
      </c>
      <c r="I148" s="3">
        <v>3157.7</v>
      </c>
    </row>
    <row r="149" spans="1:9">
      <c r="A149" s="3">
        <v>46045</v>
      </c>
      <c r="B149" s="3" t="s">
        <v>135</v>
      </c>
      <c r="C149" s="3">
        <v>3478.03</v>
      </c>
      <c r="D149" s="3">
        <v>80</v>
      </c>
      <c r="E149" s="3">
        <v>2</v>
      </c>
      <c r="F149" s="3">
        <v>250</v>
      </c>
      <c r="G149" s="3">
        <v>834.01</v>
      </c>
      <c r="H149" s="3">
        <v>0</v>
      </c>
      <c r="I149" s="3">
        <v>2644.02</v>
      </c>
    </row>
    <row r="150" spans="1:9">
      <c r="A150" s="3">
        <v>46045</v>
      </c>
      <c r="B150" s="3" t="s">
        <v>137</v>
      </c>
      <c r="C150" s="3">
        <v>3889.11</v>
      </c>
      <c r="D150" s="3">
        <v>80</v>
      </c>
      <c r="E150" s="3">
        <v>0</v>
      </c>
      <c r="F150" s="3">
        <v>250</v>
      </c>
      <c r="G150" s="3">
        <v>723.73</v>
      </c>
      <c r="H150" s="3">
        <v>185</v>
      </c>
      <c r="I150" s="3">
        <v>2980.38</v>
      </c>
    </row>
    <row r="151" spans="1:9">
      <c r="A151" s="3">
        <v>46045</v>
      </c>
      <c r="B151" s="3" t="s">
        <v>139</v>
      </c>
      <c r="C151" s="3">
        <v>4826.3599999999997</v>
      </c>
      <c r="D151" s="3">
        <v>80</v>
      </c>
      <c r="E151" s="3">
        <v>0</v>
      </c>
      <c r="F151" s="3">
        <v>0</v>
      </c>
      <c r="G151" s="3">
        <v>887.65</v>
      </c>
      <c r="H151" s="3">
        <v>0</v>
      </c>
      <c r="I151" s="3">
        <v>3938.71</v>
      </c>
    </row>
    <row r="152" spans="1:9">
      <c r="A152" s="3">
        <v>46045</v>
      </c>
      <c r="B152" s="3" t="s">
        <v>142</v>
      </c>
      <c r="C152" s="3">
        <v>2818.46</v>
      </c>
      <c r="D152" s="3">
        <v>80</v>
      </c>
      <c r="E152" s="3">
        <v>8</v>
      </c>
      <c r="F152" s="3">
        <v>0</v>
      </c>
      <c r="G152" s="3">
        <v>511.44</v>
      </c>
      <c r="H152" s="3">
        <v>0</v>
      </c>
      <c r="I152" s="3">
        <v>2307.02</v>
      </c>
    </row>
    <row r="153" spans="1:9">
      <c r="A153" s="3">
        <v>46045</v>
      </c>
      <c r="B153" s="3" t="s">
        <v>145</v>
      </c>
      <c r="C153" s="3">
        <v>2256.29</v>
      </c>
      <c r="D153" s="3">
        <v>80</v>
      </c>
      <c r="E153" s="3">
        <v>0</v>
      </c>
      <c r="F153" s="3">
        <v>0</v>
      </c>
      <c r="G153" s="3">
        <v>539.57000000000005</v>
      </c>
      <c r="H153" s="3">
        <v>310</v>
      </c>
      <c r="I153" s="3">
        <v>1406.72</v>
      </c>
    </row>
    <row r="154" spans="1:9">
      <c r="A154" s="3">
        <v>46045</v>
      </c>
      <c r="B154" s="3" t="s">
        <v>148</v>
      </c>
      <c r="C154" s="3">
        <v>2915.61</v>
      </c>
      <c r="D154" s="3">
        <v>80</v>
      </c>
      <c r="E154" s="3">
        <v>0</v>
      </c>
      <c r="F154" s="3">
        <v>250</v>
      </c>
      <c r="G154" s="3">
        <v>612.05999999999995</v>
      </c>
      <c r="H154" s="3">
        <v>310</v>
      </c>
      <c r="I154" s="3">
        <v>1993.55</v>
      </c>
    </row>
    <row r="155" spans="1:9">
      <c r="A155" s="3">
        <v>46045</v>
      </c>
      <c r="B155" s="3" t="s">
        <v>150</v>
      </c>
      <c r="C155" s="3">
        <v>2463.84</v>
      </c>
      <c r="D155" s="3">
        <v>80</v>
      </c>
      <c r="E155" s="3">
        <v>0</v>
      </c>
      <c r="F155" s="3">
        <v>0</v>
      </c>
      <c r="G155" s="3">
        <v>623.88</v>
      </c>
      <c r="H155" s="3">
        <v>185</v>
      </c>
      <c r="I155" s="3">
        <v>1654.96</v>
      </c>
    </row>
    <row r="156" spans="1:9">
      <c r="A156" s="3">
        <v>46045</v>
      </c>
      <c r="B156" s="3" t="s">
        <v>151</v>
      </c>
      <c r="C156" s="3">
        <v>4844.38</v>
      </c>
      <c r="D156" s="3">
        <v>80</v>
      </c>
      <c r="E156" s="3">
        <v>0</v>
      </c>
      <c r="F156" s="3">
        <v>500</v>
      </c>
      <c r="G156" s="3">
        <v>1175.17</v>
      </c>
      <c r="H156" s="3">
        <v>185</v>
      </c>
      <c r="I156" s="3">
        <v>3484.21</v>
      </c>
    </row>
    <row r="157" spans="1:9">
      <c r="A157" s="3">
        <v>46045</v>
      </c>
      <c r="B157" s="3" t="s">
        <v>153</v>
      </c>
      <c r="C157" s="3">
        <v>4208.93</v>
      </c>
      <c r="D157" s="3">
        <v>80</v>
      </c>
      <c r="E157" s="3">
        <v>0</v>
      </c>
      <c r="F157" s="3">
        <v>0</v>
      </c>
      <c r="G157" s="3">
        <v>1051.6300000000001</v>
      </c>
      <c r="H157" s="3">
        <v>310</v>
      </c>
      <c r="I157" s="3">
        <v>2847.3</v>
      </c>
    </row>
    <row r="158" spans="1:9">
      <c r="A158" s="3">
        <v>46045</v>
      </c>
      <c r="B158" s="3" t="s">
        <v>156</v>
      </c>
      <c r="C158" s="3">
        <v>3597.83</v>
      </c>
      <c r="D158" s="3">
        <v>80</v>
      </c>
      <c r="E158" s="3">
        <v>10</v>
      </c>
      <c r="F158" s="3">
        <v>0</v>
      </c>
      <c r="G158" s="3">
        <v>661.79</v>
      </c>
      <c r="H158" s="3">
        <v>185</v>
      </c>
      <c r="I158" s="3">
        <v>2751.04</v>
      </c>
    </row>
    <row r="159" spans="1:9">
      <c r="A159" s="3">
        <v>46045</v>
      </c>
      <c r="B159" s="3" t="s">
        <v>158</v>
      </c>
      <c r="C159" s="3">
        <v>2305.19</v>
      </c>
      <c r="D159" s="3">
        <v>80</v>
      </c>
      <c r="E159" s="3">
        <v>2</v>
      </c>
      <c r="F159" s="3">
        <v>0</v>
      </c>
      <c r="G159" s="3">
        <v>479.26</v>
      </c>
      <c r="H159" s="3">
        <v>0</v>
      </c>
      <c r="I159" s="3">
        <v>1825.93</v>
      </c>
    </row>
    <row r="160" spans="1:9">
      <c r="A160" s="3">
        <v>46045</v>
      </c>
      <c r="B160" s="3" t="s">
        <v>160</v>
      </c>
      <c r="C160" s="3">
        <v>3566.01</v>
      </c>
      <c r="D160" s="3">
        <v>80</v>
      </c>
      <c r="E160" s="3">
        <v>8</v>
      </c>
      <c r="F160" s="3">
        <v>250</v>
      </c>
      <c r="G160" s="3">
        <v>653.63</v>
      </c>
      <c r="H160" s="3">
        <v>185</v>
      </c>
      <c r="I160" s="3">
        <v>2727.38</v>
      </c>
    </row>
    <row r="161" spans="1:9">
      <c r="A161" s="3">
        <v>46045</v>
      </c>
      <c r="B161" s="3" t="s">
        <v>163</v>
      </c>
      <c r="C161" s="3">
        <v>3304.86</v>
      </c>
      <c r="D161" s="3">
        <v>80</v>
      </c>
      <c r="E161" s="3">
        <v>2</v>
      </c>
      <c r="F161" s="3">
        <v>0</v>
      </c>
      <c r="G161" s="3">
        <v>827.13</v>
      </c>
      <c r="H161" s="3">
        <v>0</v>
      </c>
      <c r="I161" s="3">
        <v>2477.73</v>
      </c>
    </row>
    <row r="162" spans="1:9">
      <c r="A162" s="3">
        <v>46045</v>
      </c>
      <c r="B162" s="3" t="s">
        <v>166</v>
      </c>
      <c r="C162" s="3">
        <v>5030.25</v>
      </c>
      <c r="D162" s="3">
        <v>80</v>
      </c>
      <c r="E162" s="3">
        <v>6</v>
      </c>
      <c r="F162" s="3">
        <v>0</v>
      </c>
      <c r="G162" s="3">
        <v>1072.06</v>
      </c>
      <c r="H162" s="3">
        <v>310</v>
      </c>
      <c r="I162" s="3">
        <v>3648.19</v>
      </c>
    </row>
    <row r="163" spans="1:9">
      <c r="A163" s="3">
        <v>46045</v>
      </c>
      <c r="B163" s="3" t="s">
        <v>168</v>
      </c>
      <c r="C163" s="3">
        <v>3504.65</v>
      </c>
      <c r="D163" s="3">
        <v>80</v>
      </c>
      <c r="E163" s="3">
        <v>8</v>
      </c>
      <c r="F163" s="3">
        <v>500</v>
      </c>
      <c r="G163" s="3">
        <v>932.53</v>
      </c>
      <c r="H163" s="3">
        <v>0</v>
      </c>
      <c r="I163" s="3">
        <v>2572.12</v>
      </c>
    </row>
    <row r="164" spans="1:9">
      <c r="A164" s="3">
        <v>46045</v>
      </c>
      <c r="B164" s="3" t="s">
        <v>170</v>
      </c>
      <c r="C164" s="3">
        <v>2738.28</v>
      </c>
      <c r="D164" s="3">
        <v>80</v>
      </c>
      <c r="E164" s="3">
        <v>6</v>
      </c>
      <c r="F164" s="3">
        <v>0</v>
      </c>
      <c r="G164" s="3">
        <v>615.5</v>
      </c>
      <c r="H164" s="3">
        <v>185</v>
      </c>
      <c r="I164" s="3">
        <v>1937.78</v>
      </c>
    </row>
    <row r="165" spans="1:9">
      <c r="A165" s="3">
        <v>46045</v>
      </c>
      <c r="B165" s="3" t="s">
        <v>172</v>
      </c>
      <c r="C165" s="3">
        <v>3443.06</v>
      </c>
      <c r="D165" s="3">
        <v>80</v>
      </c>
      <c r="E165" s="3">
        <v>4</v>
      </c>
      <c r="F165" s="3">
        <v>0</v>
      </c>
      <c r="G165" s="3">
        <v>644.21</v>
      </c>
      <c r="H165" s="3">
        <v>310</v>
      </c>
      <c r="I165" s="3">
        <v>2488.85</v>
      </c>
    </row>
    <row r="166" spans="1:9">
      <c r="A166" s="3">
        <v>46045</v>
      </c>
      <c r="B166" s="3" t="s">
        <v>175</v>
      </c>
      <c r="C166" s="3">
        <v>4932</v>
      </c>
      <c r="D166" s="3">
        <v>80</v>
      </c>
      <c r="E166" s="3">
        <v>0</v>
      </c>
      <c r="F166" s="3">
        <v>250</v>
      </c>
      <c r="G166" s="3">
        <v>933.3</v>
      </c>
      <c r="H166" s="3">
        <v>310</v>
      </c>
      <c r="I166" s="3">
        <v>3688.7</v>
      </c>
    </row>
    <row r="167" spans="1:9">
      <c r="A167" s="3">
        <v>46045</v>
      </c>
      <c r="B167" s="3" t="s">
        <v>177</v>
      </c>
      <c r="C167" s="3">
        <v>4169.62</v>
      </c>
      <c r="D167" s="3">
        <v>80</v>
      </c>
      <c r="E167" s="3">
        <v>6</v>
      </c>
      <c r="F167" s="3">
        <v>500</v>
      </c>
      <c r="G167" s="3">
        <v>917.87</v>
      </c>
      <c r="H167" s="3">
        <v>310</v>
      </c>
      <c r="I167" s="3">
        <v>2941.75</v>
      </c>
    </row>
    <row r="168" spans="1:9">
      <c r="A168" s="3">
        <v>46045</v>
      </c>
      <c r="B168" s="3" t="s">
        <v>179</v>
      </c>
      <c r="C168" s="3">
        <v>5051.83</v>
      </c>
      <c r="D168" s="3">
        <v>80</v>
      </c>
      <c r="E168" s="3">
        <v>8</v>
      </c>
      <c r="F168" s="3">
        <v>0</v>
      </c>
      <c r="G168" s="3">
        <v>1069.17</v>
      </c>
      <c r="H168" s="3">
        <v>310</v>
      </c>
      <c r="I168" s="3">
        <v>3672.66</v>
      </c>
    </row>
    <row r="169" spans="1:9">
      <c r="A169" s="3">
        <v>46045</v>
      </c>
      <c r="B169" s="3" t="s">
        <v>181</v>
      </c>
      <c r="C169" s="3">
        <v>4133.88</v>
      </c>
      <c r="D169" s="3">
        <v>80</v>
      </c>
      <c r="E169" s="3">
        <v>0</v>
      </c>
      <c r="F169" s="3">
        <v>500</v>
      </c>
      <c r="G169" s="3">
        <v>875.27</v>
      </c>
      <c r="H169" s="3">
        <v>185</v>
      </c>
      <c r="I169" s="3">
        <v>3073.61</v>
      </c>
    </row>
    <row r="170" spans="1:9">
      <c r="A170" s="3">
        <v>46045</v>
      </c>
      <c r="B170" s="3" t="s">
        <v>183</v>
      </c>
      <c r="C170" s="3">
        <v>2351.19</v>
      </c>
      <c r="D170" s="3">
        <v>80</v>
      </c>
      <c r="E170" s="3">
        <v>8</v>
      </c>
      <c r="F170" s="3">
        <v>0</v>
      </c>
      <c r="G170" s="3">
        <v>590.70000000000005</v>
      </c>
      <c r="H170" s="3">
        <v>185</v>
      </c>
      <c r="I170" s="3">
        <v>1575.49</v>
      </c>
    </row>
    <row r="171" spans="1:9">
      <c r="A171" s="3">
        <v>46045</v>
      </c>
      <c r="B171" s="3" t="s">
        <v>186</v>
      </c>
      <c r="C171" s="3">
        <v>4854.71</v>
      </c>
      <c r="D171" s="3">
        <v>80</v>
      </c>
      <c r="E171" s="3">
        <v>0</v>
      </c>
      <c r="F171" s="3">
        <v>0</v>
      </c>
      <c r="G171" s="3">
        <v>1051.33</v>
      </c>
      <c r="H171" s="3">
        <v>0</v>
      </c>
      <c r="I171" s="3">
        <v>3803.38</v>
      </c>
    </row>
    <row r="172" spans="1:9">
      <c r="A172" s="3">
        <v>46045</v>
      </c>
      <c r="B172" s="3" t="s">
        <v>190</v>
      </c>
      <c r="C172" s="3">
        <v>3712.91</v>
      </c>
      <c r="D172" s="3">
        <v>80</v>
      </c>
      <c r="E172" s="3">
        <v>0</v>
      </c>
      <c r="F172" s="3">
        <v>0</v>
      </c>
      <c r="G172" s="3">
        <v>871.35</v>
      </c>
      <c r="H172" s="3">
        <v>185</v>
      </c>
      <c r="I172" s="3">
        <v>2656.56</v>
      </c>
    </row>
    <row r="173" spans="1:9">
      <c r="A173" s="3">
        <v>46045</v>
      </c>
      <c r="B173" s="3" t="s">
        <v>193</v>
      </c>
      <c r="C173" s="3">
        <v>3726.46</v>
      </c>
      <c r="D173" s="3">
        <v>80</v>
      </c>
      <c r="E173" s="3">
        <v>10</v>
      </c>
      <c r="F173" s="3">
        <v>0</v>
      </c>
      <c r="G173" s="3">
        <v>749.91</v>
      </c>
      <c r="H173" s="3">
        <v>185</v>
      </c>
      <c r="I173" s="3">
        <v>2791.55</v>
      </c>
    </row>
    <row r="174" spans="1:9">
      <c r="A174" s="3">
        <v>46045</v>
      </c>
      <c r="B174" s="3" t="s">
        <v>195</v>
      </c>
      <c r="C174" s="3">
        <v>3545.55</v>
      </c>
      <c r="D174" s="3">
        <v>80</v>
      </c>
      <c r="E174" s="3">
        <v>6</v>
      </c>
      <c r="F174" s="3">
        <v>0</v>
      </c>
      <c r="G174" s="3">
        <v>819.21</v>
      </c>
      <c r="H174" s="3">
        <v>310</v>
      </c>
      <c r="I174" s="3">
        <v>2416.34</v>
      </c>
    </row>
    <row r="175" spans="1:9">
      <c r="A175" s="3">
        <v>46045</v>
      </c>
      <c r="B175" s="3" t="s">
        <v>197</v>
      </c>
      <c r="C175" s="3">
        <v>3459.04</v>
      </c>
      <c r="D175" s="3">
        <v>80</v>
      </c>
      <c r="E175" s="3">
        <v>0</v>
      </c>
      <c r="F175" s="3">
        <v>500</v>
      </c>
      <c r="G175" s="3">
        <v>738.11</v>
      </c>
      <c r="H175" s="3">
        <v>310</v>
      </c>
      <c r="I175" s="3">
        <v>2410.9299999999998</v>
      </c>
    </row>
    <row r="176" spans="1:9">
      <c r="A176" s="3">
        <v>46045</v>
      </c>
      <c r="B176" s="3" t="s">
        <v>199</v>
      </c>
      <c r="C176" s="3">
        <v>4708.04</v>
      </c>
      <c r="D176" s="3">
        <v>80</v>
      </c>
      <c r="E176" s="3">
        <v>10</v>
      </c>
      <c r="F176" s="3">
        <v>0</v>
      </c>
      <c r="G176" s="3">
        <v>1071.79</v>
      </c>
      <c r="H176" s="3">
        <v>310</v>
      </c>
      <c r="I176" s="3">
        <v>3326.25</v>
      </c>
    </row>
    <row r="177" spans="1:9">
      <c r="A177" s="3">
        <v>46045</v>
      </c>
      <c r="B177" s="3" t="s">
        <v>201</v>
      </c>
      <c r="C177" s="3">
        <v>5315.14</v>
      </c>
      <c r="D177" s="3">
        <v>80</v>
      </c>
      <c r="E177" s="3">
        <v>8</v>
      </c>
      <c r="F177" s="3">
        <v>0</v>
      </c>
      <c r="G177" s="3">
        <v>1076.1300000000001</v>
      </c>
      <c r="H177" s="3">
        <v>310</v>
      </c>
      <c r="I177" s="3">
        <v>3929.01</v>
      </c>
    </row>
    <row r="178" spans="1:9">
      <c r="A178" s="3">
        <v>46045</v>
      </c>
      <c r="B178" s="3" t="s">
        <v>204</v>
      </c>
      <c r="C178" s="3">
        <v>2165.63</v>
      </c>
      <c r="D178" s="3">
        <v>80</v>
      </c>
      <c r="E178" s="3">
        <v>0</v>
      </c>
      <c r="F178" s="3">
        <v>0</v>
      </c>
      <c r="G178" s="3">
        <v>487.08</v>
      </c>
      <c r="H178" s="3">
        <v>185</v>
      </c>
      <c r="I178" s="3">
        <v>1493.55</v>
      </c>
    </row>
    <row r="179" spans="1:9">
      <c r="A179" s="3">
        <v>46045</v>
      </c>
      <c r="B179" s="3" t="s">
        <v>206</v>
      </c>
      <c r="C179" s="3">
        <v>3150.11</v>
      </c>
      <c r="D179" s="3">
        <v>80</v>
      </c>
      <c r="E179" s="3">
        <v>8</v>
      </c>
      <c r="F179" s="3">
        <v>250</v>
      </c>
      <c r="G179" s="3">
        <v>786.73</v>
      </c>
      <c r="H179" s="3">
        <v>310</v>
      </c>
      <c r="I179" s="3">
        <v>2053.38</v>
      </c>
    </row>
    <row r="180" spans="1:9">
      <c r="A180" s="3">
        <v>46045</v>
      </c>
      <c r="B180" s="3" t="s">
        <v>209</v>
      </c>
      <c r="C180" s="3">
        <v>5414.23</v>
      </c>
      <c r="D180" s="3">
        <v>80</v>
      </c>
      <c r="E180" s="3">
        <v>10</v>
      </c>
      <c r="F180" s="3">
        <v>0</v>
      </c>
      <c r="G180" s="3">
        <v>1113.72</v>
      </c>
      <c r="H180" s="3">
        <v>0</v>
      </c>
      <c r="I180" s="3">
        <v>4300.51</v>
      </c>
    </row>
    <row r="181" spans="1:9">
      <c r="A181" s="3">
        <v>46045</v>
      </c>
      <c r="B181" s="3" t="s">
        <v>211</v>
      </c>
      <c r="C181" s="3">
        <v>3041.2</v>
      </c>
      <c r="D181" s="3">
        <v>80</v>
      </c>
      <c r="E181" s="3">
        <v>10</v>
      </c>
      <c r="F181" s="3">
        <v>0</v>
      </c>
      <c r="G181" s="3">
        <v>780.84</v>
      </c>
      <c r="H181" s="3">
        <v>0</v>
      </c>
      <c r="I181" s="3">
        <v>2260.36</v>
      </c>
    </row>
    <row r="182" spans="1:9">
      <c r="A182" s="3">
        <v>46045</v>
      </c>
      <c r="B182" s="3" t="s">
        <v>213</v>
      </c>
      <c r="C182" s="3">
        <v>5591.99</v>
      </c>
      <c r="D182" s="3">
        <v>80</v>
      </c>
      <c r="E182" s="3">
        <v>10</v>
      </c>
      <c r="F182" s="3">
        <v>0</v>
      </c>
      <c r="G182" s="3">
        <v>1230.57</v>
      </c>
      <c r="H182" s="3">
        <v>185</v>
      </c>
      <c r="I182" s="3">
        <v>4176.42</v>
      </c>
    </row>
    <row r="183" spans="1:9">
      <c r="A183" s="3">
        <v>46045</v>
      </c>
      <c r="B183" s="3" t="s">
        <v>215</v>
      </c>
      <c r="C183" s="3">
        <v>3984.92</v>
      </c>
      <c r="D183" s="3">
        <v>80</v>
      </c>
      <c r="E183" s="3">
        <v>0</v>
      </c>
      <c r="F183" s="3">
        <v>500</v>
      </c>
      <c r="G183" s="3">
        <v>1071.1099999999999</v>
      </c>
      <c r="H183" s="3">
        <v>310</v>
      </c>
      <c r="I183" s="3">
        <v>2603.81</v>
      </c>
    </row>
    <row r="184" spans="1:9">
      <c r="A184" s="3">
        <v>46045</v>
      </c>
      <c r="B184" s="3" t="s">
        <v>218</v>
      </c>
      <c r="C184" s="3">
        <v>5997.97</v>
      </c>
      <c r="D184" s="3">
        <v>80</v>
      </c>
      <c r="E184" s="3">
        <v>6</v>
      </c>
      <c r="F184" s="3">
        <v>500</v>
      </c>
      <c r="G184" s="3">
        <v>1372.31</v>
      </c>
      <c r="H184" s="3">
        <v>0</v>
      </c>
      <c r="I184" s="3">
        <v>4625.66</v>
      </c>
    </row>
    <row r="185" spans="1:9">
      <c r="A185" s="3">
        <v>46045</v>
      </c>
      <c r="B185" s="3" t="s">
        <v>220</v>
      </c>
      <c r="C185" s="3">
        <v>4641.38</v>
      </c>
      <c r="D185" s="3">
        <v>80</v>
      </c>
      <c r="E185" s="3">
        <v>4</v>
      </c>
      <c r="F185" s="3">
        <v>0</v>
      </c>
      <c r="G185" s="3">
        <v>1222.81</v>
      </c>
      <c r="H185" s="3">
        <v>0</v>
      </c>
      <c r="I185" s="3">
        <v>3418.57</v>
      </c>
    </row>
    <row r="186" spans="1:9">
      <c r="A186" s="3">
        <v>46045</v>
      </c>
      <c r="B186" s="3" t="s">
        <v>222</v>
      </c>
      <c r="C186" s="3">
        <v>2423.52</v>
      </c>
      <c r="D186" s="3">
        <v>80</v>
      </c>
      <c r="E186" s="3">
        <v>0</v>
      </c>
      <c r="F186" s="3">
        <v>0</v>
      </c>
      <c r="G186" s="3">
        <v>462.7</v>
      </c>
      <c r="H186" s="3">
        <v>185</v>
      </c>
      <c r="I186" s="3">
        <v>1775.82</v>
      </c>
    </row>
    <row r="187" spans="1:9">
      <c r="A187" s="3">
        <v>46045</v>
      </c>
      <c r="B187" s="3" t="s">
        <v>225</v>
      </c>
      <c r="C187" s="3">
        <v>3298.85</v>
      </c>
      <c r="D187" s="3">
        <v>80</v>
      </c>
      <c r="E187" s="3">
        <v>2</v>
      </c>
      <c r="F187" s="3">
        <v>0</v>
      </c>
      <c r="G187" s="3">
        <v>740.47</v>
      </c>
      <c r="H187" s="3">
        <v>310</v>
      </c>
      <c r="I187" s="3">
        <v>2248.38</v>
      </c>
    </row>
    <row r="188" spans="1:9">
      <c r="A188" s="3">
        <v>46045</v>
      </c>
      <c r="B188" s="3" t="s">
        <v>227</v>
      </c>
      <c r="C188" s="3">
        <v>4575.2700000000004</v>
      </c>
      <c r="D188" s="3">
        <v>80</v>
      </c>
      <c r="E188" s="3">
        <v>6</v>
      </c>
      <c r="F188" s="3">
        <v>250</v>
      </c>
      <c r="G188" s="3">
        <v>1016.01</v>
      </c>
      <c r="H188" s="3">
        <v>310</v>
      </c>
      <c r="I188" s="3">
        <v>3249.26</v>
      </c>
    </row>
    <row r="189" spans="1:9">
      <c r="A189" s="3">
        <v>46045</v>
      </c>
      <c r="B189" s="3" t="s">
        <v>229</v>
      </c>
      <c r="C189" s="3">
        <v>3115.36</v>
      </c>
      <c r="D189" s="3">
        <v>80</v>
      </c>
      <c r="E189" s="3">
        <v>0</v>
      </c>
      <c r="F189" s="3">
        <v>250</v>
      </c>
      <c r="G189" s="3">
        <v>579.20000000000005</v>
      </c>
      <c r="H189" s="3">
        <v>0</v>
      </c>
      <c r="I189" s="3">
        <v>2536.16</v>
      </c>
    </row>
    <row r="190" spans="1:9">
      <c r="A190" s="3">
        <v>46045</v>
      </c>
      <c r="B190" s="3" t="s">
        <v>231</v>
      </c>
      <c r="C190" s="3">
        <v>5420.61</v>
      </c>
      <c r="D190" s="3">
        <v>80</v>
      </c>
      <c r="E190" s="3">
        <v>8</v>
      </c>
      <c r="F190" s="3">
        <v>500</v>
      </c>
      <c r="G190" s="3">
        <v>1232.17</v>
      </c>
      <c r="H190" s="3">
        <v>0</v>
      </c>
      <c r="I190" s="3">
        <v>4188.4399999999996</v>
      </c>
    </row>
    <row r="191" spans="1:9">
      <c r="A191" s="3">
        <v>46045</v>
      </c>
      <c r="B191" s="3" t="s">
        <v>233</v>
      </c>
      <c r="C191" s="3">
        <v>4917.13</v>
      </c>
      <c r="D191" s="3">
        <v>80</v>
      </c>
      <c r="E191" s="3">
        <v>8</v>
      </c>
      <c r="F191" s="3">
        <v>250</v>
      </c>
      <c r="G191" s="3">
        <v>1315.4</v>
      </c>
      <c r="H191" s="3">
        <v>0</v>
      </c>
      <c r="I191" s="3">
        <v>3601.73</v>
      </c>
    </row>
    <row r="192" spans="1:9">
      <c r="A192" s="3">
        <v>46045</v>
      </c>
      <c r="B192" s="3" t="s">
        <v>234</v>
      </c>
      <c r="C192" s="3">
        <v>3344.44</v>
      </c>
      <c r="D192" s="3">
        <v>80</v>
      </c>
      <c r="E192" s="3">
        <v>0</v>
      </c>
      <c r="F192" s="3">
        <v>0</v>
      </c>
      <c r="G192" s="3">
        <v>757.72</v>
      </c>
      <c r="H192" s="3">
        <v>0</v>
      </c>
      <c r="I192" s="3">
        <v>2586.7199999999998</v>
      </c>
    </row>
    <row r="193" spans="1:9">
      <c r="A193" s="3">
        <v>46045</v>
      </c>
      <c r="B193" s="3" t="s">
        <v>236</v>
      </c>
      <c r="C193" s="3">
        <v>3410.84</v>
      </c>
      <c r="D193" s="3">
        <v>80</v>
      </c>
      <c r="E193" s="3">
        <v>0</v>
      </c>
      <c r="F193" s="3">
        <v>250</v>
      </c>
      <c r="G193" s="3">
        <v>669.81</v>
      </c>
      <c r="H193" s="3">
        <v>310</v>
      </c>
      <c r="I193" s="3">
        <v>2431.0300000000002</v>
      </c>
    </row>
    <row r="194" spans="1:9">
      <c r="A194" s="3">
        <v>46045</v>
      </c>
      <c r="B194" s="3" t="s">
        <v>238</v>
      </c>
      <c r="C194" s="3">
        <v>3884.76</v>
      </c>
      <c r="D194" s="3">
        <v>80</v>
      </c>
      <c r="E194" s="3">
        <v>0</v>
      </c>
      <c r="F194" s="3">
        <v>0</v>
      </c>
      <c r="G194" s="3">
        <v>1002.81</v>
      </c>
      <c r="H194" s="3">
        <v>0</v>
      </c>
      <c r="I194" s="3">
        <v>2881.95</v>
      </c>
    </row>
    <row r="195" spans="1:9">
      <c r="A195" s="3">
        <v>46045</v>
      </c>
      <c r="B195" s="3" t="s">
        <v>240</v>
      </c>
      <c r="C195" s="3">
        <v>4886.5</v>
      </c>
      <c r="D195" s="3">
        <v>80</v>
      </c>
      <c r="E195" s="3">
        <v>0</v>
      </c>
      <c r="F195" s="3">
        <v>250</v>
      </c>
      <c r="G195" s="3">
        <v>951.98</v>
      </c>
      <c r="H195" s="3">
        <v>310</v>
      </c>
      <c r="I195" s="3">
        <v>3624.52</v>
      </c>
    </row>
    <row r="196" spans="1:9">
      <c r="A196" s="3">
        <v>46045</v>
      </c>
      <c r="B196" s="3" t="s">
        <v>242</v>
      </c>
      <c r="C196" s="3">
        <v>5834.86</v>
      </c>
      <c r="D196" s="3">
        <v>80</v>
      </c>
      <c r="E196" s="3">
        <v>6</v>
      </c>
      <c r="F196" s="3">
        <v>500</v>
      </c>
      <c r="G196" s="3">
        <v>1547.83</v>
      </c>
      <c r="H196" s="3">
        <v>310</v>
      </c>
      <c r="I196" s="3">
        <v>3977.03</v>
      </c>
    </row>
    <row r="197" spans="1:9">
      <c r="A197" s="3">
        <v>46045</v>
      </c>
      <c r="B197" s="3" t="s">
        <v>244</v>
      </c>
      <c r="C197" s="3">
        <v>4990.3999999999996</v>
      </c>
      <c r="D197" s="3">
        <v>80</v>
      </c>
      <c r="E197" s="3">
        <v>4</v>
      </c>
      <c r="F197" s="3">
        <v>0</v>
      </c>
      <c r="G197" s="3">
        <v>1183.5</v>
      </c>
      <c r="H197" s="3">
        <v>0</v>
      </c>
      <c r="I197" s="3">
        <v>3806.9</v>
      </c>
    </row>
    <row r="198" spans="1:9">
      <c r="A198" s="3">
        <v>46045</v>
      </c>
      <c r="B198" s="3" t="s">
        <v>246</v>
      </c>
      <c r="C198" s="3">
        <v>4182.2299999999996</v>
      </c>
      <c r="D198" s="3">
        <v>80</v>
      </c>
      <c r="E198" s="3">
        <v>4</v>
      </c>
      <c r="F198" s="3">
        <v>0</v>
      </c>
      <c r="G198" s="3">
        <v>984.07</v>
      </c>
      <c r="H198" s="3">
        <v>310</v>
      </c>
      <c r="I198" s="3">
        <v>2888.16</v>
      </c>
    </row>
    <row r="199" spans="1:9">
      <c r="A199" s="3">
        <v>46045</v>
      </c>
      <c r="B199" s="3" t="s">
        <v>248</v>
      </c>
      <c r="C199" s="3">
        <v>2372.4299999999998</v>
      </c>
      <c r="D199" s="3">
        <v>80</v>
      </c>
      <c r="E199" s="3">
        <v>0</v>
      </c>
      <c r="F199" s="3">
        <v>250</v>
      </c>
      <c r="G199" s="3">
        <v>553.4</v>
      </c>
      <c r="H199" s="3">
        <v>310</v>
      </c>
      <c r="I199" s="3">
        <v>1509.03</v>
      </c>
    </row>
    <row r="200" spans="1:9">
      <c r="A200" s="3">
        <v>46045</v>
      </c>
      <c r="B200" s="3" t="s">
        <v>250</v>
      </c>
      <c r="C200" s="3">
        <v>4277.17</v>
      </c>
      <c r="D200" s="3">
        <v>80</v>
      </c>
      <c r="E200" s="3">
        <v>0</v>
      </c>
      <c r="F200" s="3">
        <v>0</v>
      </c>
      <c r="G200" s="3">
        <v>1047.29</v>
      </c>
      <c r="H200" s="3">
        <v>185</v>
      </c>
      <c r="I200" s="3">
        <v>3044.88</v>
      </c>
    </row>
    <row r="201" spans="1:9">
      <c r="A201" s="3">
        <v>46045</v>
      </c>
      <c r="B201" s="3" t="s">
        <v>252</v>
      </c>
      <c r="C201" s="3">
        <v>4291.9399999999996</v>
      </c>
      <c r="D201" s="3">
        <v>80</v>
      </c>
      <c r="E201" s="3">
        <v>6</v>
      </c>
      <c r="F201" s="3">
        <v>250</v>
      </c>
      <c r="G201" s="3">
        <v>1106.21</v>
      </c>
      <c r="H201" s="3">
        <v>310</v>
      </c>
      <c r="I201" s="3">
        <v>2875.73</v>
      </c>
    </row>
    <row r="202" spans="1:9">
      <c r="A202" s="3">
        <v>46045</v>
      </c>
      <c r="B202" s="3" t="s">
        <v>254</v>
      </c>
      <c r="C202" s="3">
        <v>2099.35</v>
      </c>
      <c r="D202" s="3">
        <v>80</v>
      </c>
      <c r="E202" s="3">
        <v>0</v>
      </c>
      <c r="F202" s="3">
        <v>0</v>
      </c>
      <c r="G202" s="3">
        <v>523.55999999999995</v>
      </c>
      <c r="H202" s="3">
        <v>0</v>
      </c>
      <c r="I202" s="3">
        <v>1575.79</v>
      </c>
    </row>
    <row r="203" spans="1:9">
      <c r="A203" s="3">
        <v>46045</v>
      </c>
      <c r="B203" s="3" t="s">
        <v>256</v>
      </c>
      <c r="C203" s="3">
        <v>2759.56</v>
      </c>
      <c r="D203" s="3">
        <v>80</v>
      </c>
      <c r="E203" s="3">
        <v>4</v>
      </c>
      <c r="F203" s="3">
        <v>500</v>
      </c>
      <c r="G203" s="3">
        <v>638.82000000000005</v>
      </c>
      <c r="H203" s="3">
        <v>185</v>
      </c>
      <c r="I203" s="3">
        <v>1935.74</v>
      </c>
    </row>
    <row r="204" spans="1:9">
      <c r="A204" s="3">
        <v>46045</v>
      </c>
      <c r="B204" s="3" t="s">
        <v>259</v>
      </c>
      <c r="C204" s="3">
        <v>2557.91</v>
      </c>
      <c r="D204" s="3">
        <v>80</v>
      </c>
      <c r="E204" s="3">
        <v>0</v>
      </c>
      <c r="F204" s="3">
        <v>0</v>
      </c>
      <c r="G204" s="3">
        <v>586.02</v>
      </c>
      <c r="H204" s="3">
        <v>0</v>
      </c>
      <c r="I204" s="3">
        <v>1971.89</v>
      </c>
    </row>
    <row r="205" spans="1:9">
      <c r="A205" s="3">
        <v>46045</v>
      </c>
      <c r="B205" s="3" t="s">
        <v>261</v>
      </c>
      <c r="C205" s="3">
        <v>2964.19</v>
      </c>
      <c r="D205" s="3">
        <v>80</v>
      </c>
      <c r="E205" s="3">
        <v>4</v>
      </c>
      <c r="F205" s="3">
        <v>0</v>
      </c>
      <c r="G205" s="3">
        <v>748.94</v>
      </c>
      <c r="H205" s="3">
        <v>310</v>
      </c>
      <c r="I205" s="3">
        <v>1905.25</v>
      </c>
    </row>
    <row r="206" spans="1:9">
      <c r="A206" s="3">
        <v>46045</v>
      </c>
      <c r="B206" s="3" t="s">
        <v>263</v>
      </c>
      <c r="C206" s="3">
        <v>3403.46</v>
      </c>
      <c r="D206" s="3">
        <v>80</v>
      </c>
      <c r="E206" s="3">
        <v>8</v>
      </c>
      <c r="F206" s="3">
        <v>0</v>
      </c>
      <c r="G206" s="3">
        <v>823.55</v>
      </c>
      <c r="H206" s="3">
        <v>185</v>
      </c>
      <c r="I206" s="3">
        <v>2394.91</v>
      </c>
    </row>
    <row r="207" spans="1:9">
      <c r="A207" s="3">
        <v>46045</v>
      </c>
      <c r="B207" s="3" t="s">
        <v>265</v>
      </c>
      <c r="C207" s="3">
        <v>4765.01</v>
      </c>
      <c r="D207" s="3">
        <v>80</v>
      </c>
      <c r="E207" s="3">
        <v>0</v>
      </c>
      <c r="F207" s="3">
        <v>0</v>
      </c>
      <c r="G207" s="3">
        <v>1056.8800000000001</v>
      </c>
      <c r="H207" s="3">
        <v>185</v>
      </c>
      <c r="I207" s="3">
        <v>3523.13</v>
      </c>
    </row>
    <row r="208" spans="1:9">
      <c r="A208" s="3">
        <v>46045</v>
      </c>
      <c r="B208" s="3" t="s">
        <v>267</v>
      </c>
      <c r="C208" s="3">
        <v>2499.96</v>
      </c>
      <c r="D208" s="3">
        <v>80</v>
      </c>
      <c r="E208" s="3">
        <v>6</v>
      </c>
      <c r="F208" s="3">
        <v>250</v>
      </c>
      <c r="G208" s="3">
        <v>643.82000000000005</v>
      </c>
      <c r="H208" s="3">
        <v>310</v>
      </c>
      <c r="I208" s="3">
        <v>1546.14</v>
      </c>
    </row>
    <row r="209" spans="1:9">
      <c r="A209" s="3">
        <v>46045</v>
      </c>
      <c r="B209" s="3" t="s">
        <v>269</v>
      </c>
      <c r="C209" s="3">
        <v>5102.74</v>
      </c>
      <c r="D209" s="3">
        <v>80</v>
      </c>
      <c r="E209" s="3">
        <v>6</v>
      </c>
      <c r="F209" s="3">
        <v>500</v>
      </c>
      <c r="G209" s="3">
        <v>1077.0999999999999</v>
      </c>
      <c r="H209" s="3">
        <v>185</v>
      </c>
      <c r="I209" s="3">
        <v>3840.64</v>
      </c>
    </row>
    <row r="210" spans="1:9">
      <c r="A210" s="3">
        <v>46045</v>
      </c>
      <c r="B210" s="3" t="s">
        <v>271</v>
      </c>
      <c r="C210" s="3">
        <v>4126.47</v>
      </c>
      <c r="D210" s="3">
        <v>80</v>
      </c>
      <c r="E210" s="3">
        <v>8</v>
      </c>
      <c r="F210" s="3">
        <v>0</v>
      </c>
      <c r="G210" s="3">
        <v>934.02</v>
      </c>
      <c r="H210" s="3">
        <v>185</v>
      </c>
      <c r="I210" s="3">
        <v>3007.45</v>
      </c>
    </row>
    <row r="211" spans="1:9">
      <c r="A211" s="3">
        <v>46045</v>
      </c>
      <c r="B211" s="3" t="s">
        <v>273</v>
      </c>
      <c r="C211" s="3">
        <v>4987.09</v>
      </c>
      <c r="D211" s="3">
        <v>80</v>
      </c>
      <c r="E211" s="3">
        <v>0</v>
      </c>
      <c r="F211" s="3">
        <v>0</v>
      </c>
      <c r="G211" s="3">
        <v>952.67</v>
      </c>
      <c r="H211" s="3">
        <v>0</v>
      </c>
      <c r="I211" s="3">
        <v>4034.42</v>
      </c>
    </row>
    <row r="212" spans="1:9">
      <c r="A212" s="3">
        <v>46045</v>
      </c>
      <c r="B212" s="3" t="s">
        <v>276</v>
      </c>
      <c r="C212" s="3">
        <v>3590.2</v>
      </c>
      <c r="D212" s="3">
        <v>80</v>
      </c>
      <c r="E212" s="3">
        <v>10</v>
      </c>
      <c r="F212" s="3">
        <v>0</v>
      </c>
      <c r="G212" s="3">
        <v>662.59</v>
      </c>
      <c r="H212" s="3">
        <v>310</v>
      </c>
      <c r="I212" s="3">
        <v>2617.61</v>
      </c>
    </row>
    <row r="213" spans="1:9">
      <c r="A213" s="3">
        <v>46045</v>
      </c>
      <c r="B213" s="3" t="s">
        <v>278</v>
      </c>
      <c r="C213" s="3">
        <v>3607.47</v>
      </c>
      <c r="D213" s="3">
        <v>80</v>
      </c>
      <c r="E213" s="3">
        <v>8</v>
      </c>
      <c r="F213" s="3">
        <v>250</v>
      </c>
      <c r="G213" s="3">
        <v>961.9</v>
      </c>
      <c r="H213" s="3">
        <v>185</v>
      </c>
      <c r="I213" s="3">
        <v>2460.5700000000002</v>
      </c>
    </row>
    <row r="214" spans="1:9">
      <c r="A214" s="3">
        <v>46045</v>
      </c>
      <c r="B214" s="3" t="s">
        <v>280</v>
      </c>
      <c r="C214" s="3">
        <v>4406.3100000000004</v>
      </c>
      <c r="D214" s="3">
        <v>80</v>
      </c>
      <c r="E214" s="3">
        <v>0</v>
      </c>
      <c r="F214" s="3">
        <v>0</v>
      </c>
      <c r="G214" s="3">
        <v>1079.1099999999999</v>
      </c>
      <c r="H214" s="3">
        <v>310</v>
      </c>
      <c r="I214" s="3">
        <v>3017.2</v>
      </c>
    </row>
    <row r="215" spans="1:9">
      <c r="A215" s="3">
        <v>46045</v>
      </c>
      <c r="B215" s="3" t="s">
        <v>282</v>
      </c>
      <c r="C215" s="3">
        <v>5027.8</v>
      </c>
      <c r="D215" s="3">
        <v>80</v>
      </c>
      <c r="E215" s="3">
        <v>2</v>
      </c>
      <c r="F215" s="3">
        <v>0</v>
      </c>
      <c r="G215" s="3">
        <v>1137.92</v>
      </c>
      <c r="H215" s="3">
        <v>310</v>
      </c>
      <c r="I215" s="3">
        <v>3579.88</v>
      </c>
    </row>
    <row r="216" spans="1:9">
      <c r="A216" s="3">
        <v>46045</v>
      </c>
      <c r="B216" s="3" t="s">
        <v>284</v>
      </c>
      <c r="C216" s="3">
        <v>4430.09</v>
      </c>
      <c r="D216" s="3">
        <v>80</v>
      </c>
      <c r="E216" s="3">
        <v>10</v>
      </c>
      <c r="F216" s="3">
        <v>0</v>
      </c>
      <c r="G216" s="3">
        <v>833.32</v>
      </c>
      <c r="H216" s="3">
        <v>0</v>
      </c>
      <c r="I216" s="3">
        <v>3596.77</v>
      </c>
    </row>
    <row r="217" spans="1:9">
      <c r="A217" s="3">
        <v>46045</v>
      </c>
      <c r="B217" s="3" t="s">
        <v>286</v>
      </c>
      <c r="C217" s="3">
        <v>4317.08</v>
      </c>
      <c r="D217" s="3">
        <v>80</v>
      </c>
      <c r="E217" s="3">
        <v>8</v>
      </c>
      <c r="F217" s="3">
        <v>250</v>
      </c>
      <c r="G217" s="3">
        <v>870.61</v>
      </c>
      <c r="H217" s="3">
        <v>185</v>
      </c>
      <c r="I217" s="3">
        <v>3261.47</v>
      </c>
    </row>
    <row r="218" spans="1:9">
      <c r="A218" s="3">
        <v>46045</v>
      </c>
      <c r="B218" s="3" t="s">
        <v>288</v>
      </c>
      <c r="C218" s="3">
        <v>3700.15</v>
      </c>
      <c r="D218" s="3">
        <v>80</v>
      </c>
      <c r="E218" s="3">
        <v>6</v>
      </c>
      <c r="F218" s="3">
        <v>0</v>
      </c>
      <c r="G218" s="3">
        <v>830.83</v>
      </c>
      <c r="H218" s="3">
        <v>0</v>
      </c>
      <c r="I218" s="3">
        <v>2869.32</v>
      </c>
    </row>
    <row r="219" spans="1:9">
      <c r="A219" s="3">
        <v>46045</v>
      </c>
      <c r="B219" s="3" t="s">
        <v>290</v>
      </c>
      <c r="C219" s="3">
        <v>3701.31</v>
      </c>
      <c r="D219" s="3">
        <v>80</v>
      </c>
      <c r="E219" s="3">
        <v>10</v>
      </c>
      <c r="F219" s="3">
        <v>0</v>
      </c>
      <c r="G219" s="3">
        <v>948.44</v>
      </c>
      <c r="H219" s="3">
        <v>310</v>
      </c>
      <c r="I219" s="3">
        <v>2442.87</v>
      </c>
    </row>
    <row r="220" spans="1:9">
      <c r="A220" s="3">
        <v>46045</v>
      </c>
      <c r="B220" s="3" t="s">
        <v>292</v>
      </c>
      <c r="C220" s="3">
        <v>5415.23</v>
      </c>
      <c r="D220" s="3">
        <v>80</v>
      </c>
      <c r="E220" s="3">
        <v>8</v>
      </c>
      <c r="F220" s="3">
        <v>0</v>
      </c>
      <c r="G220" s="3">
        <v>1329.31</v>
      </c>
      <c r="H220" s="3">
        <v>310</v>
      </c>
      <c r="I220" s="3">
        <v>3775.92</v>
      </c>
    </row>
    <row r="221" spans="1:9">
      <c r="A221" s="3">
        <v>46045</v>
      </c>
      <c r="B221" s="3" t="s">
        <v>294</v>
      </c>
      <c r="C221" s="3">
        <v>3869.6</v>
      </c>
      <c r="D221" s="3">
        <v>80</v>
      </c>
      <c r="E221" s="3">
        <v>8</v>
      </c>
      <c r="F221" s="3">
        <v>0</v>
      </c>
      <c r="G221" s="3">
        <v>714.34</v>
      </c>
      <c r="H221" s="3">
        <v>310</v>
      </c>
      <c r="I221" s="3">
        <v>2845.26</v>
      </c>
    </row>
    <row r="222" spans="1:9">
      <c r="A222" s="3">
        <v>46045</v>
      </c>
      <c r="B222" s="3" t="s">
        <v>296</v>
      </c>
      <c r="C222" s="3">
        <v>2636.31</v>
      </c>
      <c r="D222" s="3">
        <v>80</v>
      </c>
      <c r="E222" s="3">
        <v>2</v>
      </c>
      <c r="F222" s="3">
        <v>0</v>
      </c>
      <c r="G222" s="3">
        <v>491.98</v>
      </c>
      <c r="H222" s="3">
        <v>185</v>
      </c>
      <c r="I222" s="3">
        <v>1959.33</v>
      </c>
    </row>
    <row r="223" spans="1:9">
      <c r="A223" s="3">
        <v>46045</v>
      </c>
      <c r="B223" s="3" t="s">
        <v>298</v>
      </c>
      <c r="C223" s="3">
        <v>4349.58</v>
      </c>
      <c r="D223" s="3">
        <v>80</v>
      </c>
      <c r="E223" s="3">
        <v>10</v>
      </c>
      <c r="F223" s="3">
        <v>250</v>
      </c>
      <c r="G223" s="3">
        <v>1170.1199999999999</v>
      </c>
      <c r="H223" s="3">
        <v>185</v>
      </c>
      <c r="I223" s="3">
        <v>2994.46</v>
      </c>
    </row>
    <row r="224" spans="1:9">
      <c r="A224" s="3">
        <v>46045</v>
      </c>
      <c r="B224" s="3" t="s">
        <v>300</v>
      </c>
      <c r="C224" s="3">
        <v>4562.21</v>
      </c>
      <c r="D224" s="3">
        <v>80</v>
      </c>
      <c r="E224" s="3">
        <v>0</v>
      </c>
      <c r="F224" s="3">
        <v>0</v>
      </c>
      <c r="G224" s="3">
        <v>982.93</v>
      </c>
      <c r="H224" s="3">
        <v>310</v>
      </c>
      <c r="I224" s="3">
        <v>3269.28</v>
      </c>
    </row>
    <row r="225" spans="1:9">
      <c r="A225" s="3">
        <v>46045</v>
      </c>
      <c r="B225" s="3" t="s">
        <v>302</v>
      </c>
      <c r="C225" s="3">
        <v>5834.45</v>
      </c>
      <c r="D225" s="3">
        <v>80</v>
      </c>
      <c r="E225" s="3">
        <v>6</v>
      </c>
      <c r="F225" s="3">
        <v>250</v>
      </c>
      <c r="G225" s="3">
        <v>1446.63</v>
      </c>
      <c r="H225" s="3">
        <v>0</v>
      </c>
      <c r="I225" s="3">
        <v>4387.82</v>
      </c>
    </row>
    <row r="226" spans="1:9">
      <c r="A226" s="3">
        <v>46045</v>
      </c>
      <c r="B226" s="3" t="s">
        <v>304</v>
      </c>
      <c r="C226" s="3">
        <v>3522.57</v>
      </c>
      <c r="D226" s="3">
        <v>80</v>
      </c>
      <c r="E226" s="3">
        <v>2</v>
      </c>
      <c r="F226" s="3">
        <v>250</v>
      </c>
      <c r="G226" s="3">
        <v>792.6</v>
      </c>
      <c r="H226" s="3">
        <v>185</v>
      </c>
      <c r="I226" s="3">
        <v>2544.9699999999998</v>
      </c>
    </row>
    <row r="227" spans="1:9">
      <c r="A227" s="3">
        <v>46045</v>
      </c>
      <c r="B227" s="3" t="s">
        <v>306</v>
      </c>
      <c r="C227" s="3">
        <v>3404.93</v>
      </c>
      <c r="D227" s="3">
        <v>80</v>
      </c>
      <c r="E227" s="3">
        <v>0</v>
      </c>
      <c r="F227" s="3">
        <v>0</v>
      </c>
      <c r="G227" s="3">
        <v>714.95</v>
      </c>
      <c r="H227" s="3">
        <v>185</v>
      </c>
      <c r="I227" s="3">
        <v>2504.98</v>
      </c>
    </row>
    <row r="228" spans="1:9">
      <c r="A228" s="3">
        <v>46045</v>
      </c>
      <c r="B228" s="3" t="s">
        <v>308</v>
      </c>
      <c r="C228" s="3">
        <v>3947.33</v>
      </c>
      <c r="D228" s="3">
        <v>80</v>
      </c>
      <c r="E228" s="3">
        <v>10</v>
      </c>
      <c r="F228" s="3">
        <v>250</v>
      </c>
      <c r="G228" s="3">
        <v>925.9</v>
      </c>
      <c r="H228" s="3">
        <v>310</v>
      </c>
      <c r="I228" s="3">
        <v>2711.43</v>
      </c>
    </row>
    <row r="229" spans="1:9">
      <c r="A229" s="3">
        <v>46045</v>
      </c>
      <c r="B229" s="3" t="s">
        <v>310</v>
      </c>
      <c r="C229" s="3">
        <v>3098.49</v>
      </c>
      <c r="D229" s="3">
        <v>80</v>
      </c>
      <c r="E229" s="3">
        <v>0</v>
      </c>
      <c r="F229" s="3">
        <v>0</v>
      </c>
      <c r="G229" s="3">
        <v>646.54999999999995</v>
      </c>
      <c r="H229" s="3">
        <v>0</v>
      </c>
      <c r="I229" s="3">
        <v>2451.94</v>
      </c>
    </row>
    <row r="230" spans="1:9">
      <c r="A230" s="3">
        <v>46045</v>
      </c>
      <c r="B230" s="3" t="s">
        <v>312</v>
      </c>
      <c r="C230" s="3">
        <v>4286.97</v>
      </c>
      <c r="D230" s="3">
        <v>80</v>
      </c>
      <c r="E230" s="3">
        <v>8</v>
      </c>
      <c r="F230" s="3">
        <v>250</v>
      </c>
      <c r="G230" s="3">
        <v>887.11</v>
      </c>
      <c r="H230" s="3">
        <v>0</v>
      </c>
      <c r="I230" s="3">
        <v>3399.86</v>
      </c>
    </row>
    <row r="231" spans="1:9">
      <c r="A231" s="3">
        <v>46045</v>
      </c>
      <c r="B231" s="3" t="s">
        <v>314</v>
      </c>
      <c r="C231" s="3">
        <v>3946.25</v>
      </c>
      <c r="D231" s="3">
        <v>80</v>
      </c>
      <c r="E231" s="3">
        <v>6</v>
      </c>
      <c r="F231" s="3">
        <v>250</v>
      </c>
      <c r="G231" s="3">
        <v>899.39</v>
      </c>
      <c r="H231" s="3">
        <v>0</v>
      </c>
      <c r="I231" s="3">
        <v>3046.86</v>
      </c>
    </row>
    <row r="232" spans="1:9">
      <c r="A232" s="3">
        <v>46045</v>
      </c>
      <c r="B232" s="3" t="s">
        <v>317</v>
      </c>
      <c r="C232" s="3">
        <v>3860.97</v>
      </c>
      <c r="D232" s="3">
        <v>80</v>
      </c>
      <c r="E232" s="3">
        <v>4</v>
      </c>
      <c r="F232" s="3">
        <v>0</v>
      </c>
      <c r="G232" s="3">
        <v>822.97</v>
      </c>
      <c r="H232" s="3">
        <v>0</v>
      </c>
      <c r="I232" s="3">
        <v>3038</v>
      </c>
    </row>
    <row r="233" spans="1:9">
      <c r="A233" s="3">
        <v>46045</v>
      </c>
      <c r="B233" s="3" t="s">
        <v>319</v>
      </c>
      <c r="C233" s="3">
        <v>3311.88</v>
      </c>
      <c r="D233" s="3">
        <v>80</v>
      </c>
      <c r="E233" s="3">
        <v>0</v>
      </c>
      <c r="F233" s="3">
        <v>0</v>
      </c>
      <c r="G233" s="3">
        <v>833.63</v>
      </c>
      <c r="H233" s="3">
        <v>0</v>
      </c>
      <c r="I233" s="3">
        <v>2478.25</v>
      </c>
    </row>
    <row r="234" spans="1:9">
      <c r="A234" s="3">
        <v>46045</v>
      </c>
      <c r="B234" s="3" t="s">
        <v>321</v>
      </c>
      <c r="C234" s="3">
        <v>3594.88</v>
      </c>
      <c r="D234" s="3">
        <v>80</v>
      </c>
      <c r="E234" s="3">
        <v>0</v>
      </c>
      <c r="F234" s="3">
        <v>250</v>
      </c>
      <c r="G234" s="3">
        <v>959.96</v>
      </c>
      <c r="H234" s="3">
        <v>185</v>
      </c>
      <c r="I234" s="3">
        <v>2449.92</v>
      </c>
    </row>
    <row r="235" spans="1:9">
      <c r="A235" s="3">
        <v>46045</v>
      </c>
      <c r="B235" s="3" t="s">
        <v>323</v>
      </c>
      <c r="C235" s="3">
        <v>4627.57</v>
      </c>
      <c r="D235" s="3">
        <v>80</v>
      </c>
      <c r="E235" s="3">
        <v>2</v>
      </c>
      <c r="F235" s="3">
        <v>500</v>
      </c>
      <c r="G235" s="3">
        <v>1033.06</v>
      </c>
      <c r="H235" s="3">
        <v>310</v>
      </c>
      <c r="I235" s="3">
        <v>3284.51</v>
      </c>
    </row>
    <row r="236" spans="1:9">
      <c r="A236" s="3">
        <v>46045</v>
      </c>
      <c r="B236" s="3" t="s">
        <v>324</v>
      </c>
      <c r="C236" s="3">
        <v>3908.42</v>
      </c>
      <c r="D236" s="3">
        <v>80</v>
      </c>
      <c r="E236" s="3">
        <v>8</v>
      </c>
      <c r="F236" s="3">
        <v>0</v>
      </c>
      <c r="G236" s="3">
        <v>788.71</v>
      </c>
      <c r="H236" s="3">
        <v>0</v>
      </c>
      <c r="I236" s="3">
        <v>3119.71</v>
      </c>
    </row>
    <row r="237" spans="1:9">
      <c r="A237" s="3">
        <v>46045</v>
      </c>
      <c r="B237" s="3" t="s">
        <v>326</v>
      </c>
      <c r="C237" s="3">
        <v>3206.72</v>
      </c>
      <c r="D237" s="3">
        <v>80</v>
      </c>
      <c r="E237" s="3">
        <v>0</v>
      </c>
      <c r="F237" s="3">
        <v>0</v>
      </c>
      <c r="G237" s="3">
        <v>667.74</v>
      </c>
      <c r="H237" s="3">
        <v>310</v>
      </c>
      <c r="I237" s="3">
        <v>2228.98</v>
      </c>
    </row>
    <row r="238" spans="1:9">
      <c r="A238" s="3">
        <v>46045</v>
      </c>
      <c r="B238" s="3" t="s">
        <v>328</v>
      </c>
      <c r="C238" s="3">
        <v>4009.53</v>
      </c>
      <c r="D238" s="3">
        <v>80</v>
      </c>
      <c r="E238" s="3">
        <v>0</v>
      </c>
      <c r="F238" s="3">
        <v>0</v>
      </c>
      <c r="G238" s="3">
        <v>869.8</v>
      </c>
      <c r="H238" s="3">
        <v>185</v>
      </c>
      <c r="I238" s="3">
        <v>2954.73</v>
      </c>
    </row>
    <row r="239" spans="1:9">
      <c r="A239" s="3">
        <v>46045</v>
      </c>
      <c r="B239" s="3" t="s">
        <v>330</v>
      </c>
      <c r="C239" s="3">
        <v>4439.3100000000004</v>
      </c>
      <c r="D239" s="3">
        <v>80</v>
      </c>
      <c r="E239" s="3">
        <v>10</v>
      </c>
      <c r="F239" s="3">
        <v>500</v>
      </c>
      <c r="G239" s="3">
        <v>1081.06</v>
      </c>
      <c r="H239" s="3">
        <v>0</v>
      </c>
      <c r="I239" s="3">
        <v>3358.25</v>
      </c>
    </row>
    <row r="240" spans="1:9">
      <c r="A240" s="3">
        <v>46045</v>
      </c>
      <c r="B240" s="3" t="s">
        <v>331</v>
      </c>
      <c r="C240" s="3">
        <v>3872.5</v>
      </c>
      <c r="D240" s="3">
        <v>80</v>
      </c>
      <c r="E240" s="3">
        <v>2</v>
      </c>
      <c r="F240" s="3">
        <v>250</v>
      </c>
      <c r="G240" s="3">
        <v>927.85</v>
      </c>
      <c r="H240" s="3">
        <v>0</v>
      </c>
      <c r="I240" s="3">
        <v>2944.65</v>
      </c>
    </row>
    <row r="241" spans="1:9">
      <c r="A241" s="3">
        <v>46045</v>
      </c>
      <c r="B241" s="3" t="s">
        <v>333</v>
      </c>
      <c r="C241" s="3">
        <v>3163.16</v>
      </c>
      <c r="D241" s="3">
        <v>80</v>
      </c>
      <c r="E241" s="3">
        <v>8</v>
      </c>
      <c r="F241" s="3">
        <v>0</v>
      </c>
      <c r="G241" s="3">
        <v>700.23</v>
      </c>
      <c r="H241" s="3">
        <v>310</v>
      </c>
      <c r="I241" s="3">
        <v>2152.9299999999998</v>
      </c>
    </row>
    <row r="242" spans="1:9">
      <c r="A242" s="3">
        <v>46045</v>
      </c>
      <c r="B242" s="3" t="s">
        <v>335</v>
      </c>
      <c r="C242" s="3">
        <v>4949.3999999999996</v>
      </c>
      <c r="D242" s="3">
        <v>80</v>
      </c>
      <c r="E242" s="3">
        <v>6</v>
      </c>
      <c r="F242" s="3">
        <v>250</v>
      </c>
      <c r="G242" s="3">
        <v>1234.77</v>
      </c>
      <c r="H242" s="3">
        <v>0</v>
      </c>
      <c r="I242" s="3">
        <v>3714.63</v>
      </c>
    </row>
    <row r="243" spans="1:9">
      <c r="A243" s="3">
        <v>46045</v>
      </c>
      <c r="B243" s="3" t="s">
        <v>337</v>
      </c>
      <c r="C243" s="3">
        <v>5045.37</v>
      </c>
      <c r="D243" s="3">
        <v>80</v>
      </c>
      <c r="E243" s="3">
        <v>4</v>
      </c>
      <c r="F243" s="3">
        <v>250</v>
      </c>
      <c r="G243" s="3">
        <v>1342.88</v>
      </c>
      <c r="H243" s="3">
        <v>310</v>
      </c>
      <c r="I243" s="3">
        <v>3392.49</v>
      </c>
    </row>
    <row r="244" spans="1:9">
      <c r="A244" s="3">
        <v>46045</v>
      </c>
      <c r="B244" s="3" t="s">
        <v>339</v>
      </c>
      <c r="C244" s="3">
        <v>4746.63</v>
      </c>
      <c r="D244" s="3">
        <v>80</v>
      </c>
      <c r="E244" s="3">
        <v>4</v>
      </c>
      <c r="F244" s="3">
        <v>250</v>
      </c>
      <c r="G244" s="3">
        <v>1256.5899999999999</v>
      </c>
      <c r="H244" s="3">
        <v>0</v>
      </c>
      <c r="I244" s="3">
        <v>3490.04</v>
      </c>
    </row>
    <row r="245" spans="1:9">
      <c r="A245" s="3">
        <v>46045</v>
      </c>
      <c r="B245" s="3" t="s">
        <v>341</v>
      </c>
      <c r="C245" s="3">
        <v>5178.54</v>
      </c>
      <c r="D245" s="3">
        <v>80</v>
      </c>
      <c r="E245" s="3">
        <v>4</v>
      </c>
      <c r="F245" s="3">
        <v>0</v>
      </c>
      <c r="G245" s="3">
        <v>1253.8399999999999</v>
      </c>
      <c r="H245" s="3">
        <v>310</v>
      </c>
      <c r="I245" s="3">
        <v>3614.7</v>
      </c>
    </row>
    <row r="246" spans="1:9">
      <c r="A246" s="3">
        <v>46045</v>
      </c>
      <c r="B246" s="3" t="s">
        <v>343</v>
      </c>
      <c r="C246" s="3">
        <v>3241.71</v>
      </c>
      <c r="D246" s="3">
        <v>80</v>
      </c>
      <c r="E246" s="3">
        <v>10</v>
      </c>
      <c r="F246" s="3">
        <v>0</v>
      </c>
      <c r="G246" s="3">
        <v>747.03</v>
      </c>
      <c r="H246" s="3">
        <v>310</v>
      </c>
      <c r="I246" s="3">
        <v>2184.6799999999998</v>
      </c>
    </row>
    <row r="247" spans="1:9">
      <c r="A247" s="3">
        <v>46045</v>
      </c>
      <c r="B247" s="3" t="s">
        <v>345</v>
      </c>
      <c r="C247" s="3">
        <v>4901.2700000000004</v>
      </c>
      <c r="D247" s="3">
        <v>80</v>
      </c>
      <c r="E247" s="3">
        <v>4</v>
      </c>
      <c r="F247" s="3">
        <v>0</v>
      </c>
      <c r="G247" s="3">
        <v>1180.7</v>
      </c>
      <c r="H247" s="3">
        <v>310</v>
      </c>
      <c r="I247" s="3">
        <v>3410.57</v>
      </c>
    </row>
    <row r="248" spans="1:9">
      <c r="A248" s="3">
        <v>46045</v>
      </c>
      <c r="B248" s="3" t="s">
        <v>348</v>
      </c>
      <c r="C248" s="3">
        <v>4969.8100000000004</v>
      </c>
      <c r="D248" s="3">
        <v>80</v>
      </c>
      <c r="E248" s="3">
        <v>8</v>
      </c>
      <c r="F248" s="3">
        <v>0</v>
      </c>
      <c r="G248" s="3">
        <v>1321.55</v>
      </c>
      <c r="H248" s="3">
        <v>310</v>
      </c>
      <c r="I248" s="3">
        <v>3338.26</v>
      </c>
    </row>
    <row r="249" spans="1:9">
      <c r="A249" s="3">
        <v>46045</v>
      </c>
      <c r="B249" s="3" t="s">
        <v>350</v>
      </c>
      <c r="C249" s="3">
        <v>4592.4799999999996</v>
      </c>
      <c r="D249" s="3">
        <v>80</v>
      </c>
      <c r="E249" s="3">
        <v>0</v>
      </c>
      <c r="F249" s="3">
        <v>0</v>
      </c>
      <c r="G249" s="3">
        <v>1221.5</v>
      </c>
      <c r="H249" s="3">
        <v>310</v>
      </c>
      <c r="I249" s="3">
        <v>3060.98</v>
      </c>
    </row>
    <row r="250" spans="1:9">
      <c r="A250" s="3">
        <v>46045</v>
      </c>
      <c r="B250" s="3" t="s">
        <v>352</v>
      </c>
      <c r="C250" s="3">
        <v>3175.05</v>
      </c>
      <c r="D250" s="3">
        <v>80</v>
      </c>
      <c r="E250" s="3">
        <v>0</v>
      </c>
      <c r="F250" s="3">
        <v>0</v>
      </c>
      <c r="G250" s="3">
        <v>758.96</v>
      </c>
      <c r="H250" s="3">
        <v>0</v>
      </c>
      <c r="I250" s="3">
        <v>2416.09</v>
      </c>
    </row>
    <row r="251" spans="1:9">
      <c r="A251" s="3">
        <v>46045</v>
      </c>
      <c r="B251" s="3" t="s">
        <v>354</v>
      </c>
      <c r="C251" s="3">
        <v>4917.75</v>
      </c>
      <c r="D251" s="3">
        <v>80</v>
      </c>
      <c r="E251" s="3">
        <v>10</v>
      </c>
      <c r="F251" s="3">
        <v>0</v>
      </c>
      <c r="G251" s="3">
        <v>1123.57</v>
      </c>
      <c r="H251" s="3">
        <v>185</v>
      </c>
      <c r="I251" s="3">
        <v>3609.18</v>
      </c>
    </row>
    <row r="252" spans="1:9">
      <c r="A252" s="3">
        <v>46059</v>
      </c>
      <c r="B252" s="3" t="s">
        <v>50</v>
      </c>
      <c r="C252" s="3">
        <v>3288.14</v>
      </c>
      <c r="D252" s="3">
        <v>80</v>
      </c>
      <c r="E252" s="3">
        <v>4</v>
      </c>
      <c r="F252" s="3">
        <v>0</v>
      </c>
      <c r="G252" s="3">
        <v>811.12</v>
      </c>
      <c r="H252" s="3">
        <v>185</v>
      </c>
      <c r="I252" s="3">
        <v>2292.02</v>
      </c>
    </row>
    <row r="253" spans="1:9">
      <c r="A253" s="3">
        <v>46059</v>
      </c>
      <c r="B253" s="3" t="s">
        <v>59</v>
      </c>
      <c r="C253" s="3">
        <v>2172.2399999999998</v>
      </c>
      <c r="D253" s="3">
        <v>80</v>
      </c>
      <c r="E253" s="3">
        <v>2</v>
      </c>
      <c r="F253" s="3">
        <v>0</v>
      </c>
      <c r="G253" s="3">
        <v>567.97</v>
      </c>
      <c r="H253" s="3">
        <v>185</v>
      </c>
      <c r="I253" s="3">
        <v>1419.27</v>
      </c>
    </row>
    <row r="254" spans="1:9">
      <c r="A254" s="3">
        <v>46059</v>
      </c>
      <c r="B254" s="3" t="s">
        <v>63</v>
      </c>
      <c r="C254" s="3">
        <v>4676.54</v>
      </c>
      <c r="D254" s="3">
        <v>80</v>
      </c>
      <c r="E254" s="3">
        <v>2</v>
      </c>
      <c r="F254" s="3">
        <v>500</v>
      </c>
      <c r="G254" s="3">
        <v>883.95</v>
      </c>
      <c r="H254" s="3">
        <v>185</v>
      </c>
      <c r="I254" s="3">
        <v>3607.59</v>
      </c>
    </row>
    <row r="255" spans="1:9">
      <c r="A255" s="3">
        <v>46059</v>
      </c>
      <c r="B255" s="3" t="s">
        <v>70</v>
      </c>
      <c r="C255" s="3">
        <v>4221.24</v>
      </c>
      <c r="D255" s="3">
        <v>80</v>
      </c>
      <c r="E255" s="3">
        <v>6</v>
      </c>
      <c r="F255" s="3">
        <v>500</v>
      </c>
      <c r="G255" s="3">
        <v>1018.62</v>
      </c>
      <c r="H255" s="3">
        <v>185</v>
      </c>
      <c r="I255" s="3">
        <v>3017.62</v>
      </c>
    </row>
    <row r="256" spans="1:9">
      <c r="A256" s="3">
        <v>46059</v>
      </c>
      <c r="B256" s="3" t="s">
        <v>73</v>
      </c>
      <c r="C256" s="3">
        <v>3754</v>
      </c>
      <c r="D256" s="3">
        <v>80</v>
      </c>
      <c r="E256" s="3">
        <v>0</v>
      </c>
      <c r="F256" s="3">
        <v>0</v>
      </c>
      <c r="G256" s="3">
        <v>1006.12</v>
      </c>
      <c r="H256" s="3">
        <v>310</v>
      </c>
      <c r="I256" s="3">
        <v>2437.88</v>
      </c>
    </row>
    <row r="257" spans="1:9">
      <c r="A257" s="3">
        <v>46059</v>
      </c>
      <c r="B257" s="3" t="s">
        <v>75</v>
      </c>
      <c r="C257" s="3">
        <v>2584.56</v>
      </c>
      <c r="D257" s="3">
        <v>80</v>
      </c>
      <c r="E257" s="3">
        <v>0</v>
      </c>
      <c r="F257" s="3">
        <v>0</v>
      </c>
      <c r="G257" s="3">
        <v>670.07</v>
      </c>
      <c r="H257" s="3">
        <v>310</v>
      </c>
      <c r="I257" s="3">
        <v>1604.49</v>
      </c>
    </row>
    <row r="258" spans="1:9">
      <c r="A258" s="3">
        <v>46059</v>
      </c>
      <c r="B258" s="3" t="s">
        <v>78</v>
      </c>
      <c r="C258" s="3">
        <v>2610.84</v>
      </c>
      <c r="D258" s="3">
        <v>80</v>
      </c>
      <c r="E258" s="3">
        <v>10</v>
      </c>
      <c r="F258" s="3">
        <v>0</v>
      </c>
      <c r="G258" s="3">
        <v>647.57000000000005</v>
      </c>
      <c r="H258" s="3">
        <v>0</v>
      </c>
      <c r="I258" s="3">
        <v>1963.27</v>
      </c>
    </row>
    <row r="259" spans="1:9">
      <c r="A259" s="3">
        <v>46059</v>
      </c>
      <c r="B259" s="3" t="s">
        <v>82</v>
      </c>
      <c r="C259" s="3">
        <v>3586.4</v>
      </c>
      <c r="D259" s="3">
        <v>80</v>
      </c>
      <c r="E259" s="3">
        <v>4</v>
      </c>
      <c r="F259" s="3">
        <v>0</v>
      </c>
      <c r="G259" s="3">
        <v>664.65</v>
      </c>
      <c r="H259" s="3">
        <v>310</v>
      </c>
      <c r="I259" s="3">
        <v>2611.75</v>
      </c>
    </row>
    <row r="260" spans="1:9">
      <c r="A260" s="3">
        <v>46059</v>
      </c>
      <c r="B260" s="3" t="s">
        <v>86</v>
      </c>
      <c r="C260" s="3">
        <v>5465.25</v>
      </c>
      <c r="D260" s="3">
        <v>80</v>
      </c>
      <c r="E260" s="3">
        <v>0</v>
      </c>
      <c r="F260" s="3">
        <v>500</v>
      </c>
      <c r="G260" s="3">
        <v>1246.97</v>
      </c>
      <c r="H260" s="3">
        <v>0</v>
      </c>
      <c r="I260" s="3">
        <v>4218.28</v>
      </c>
    </row>
    <row r="261" spans="1:9">
      <c r="A261" s="3">
        <v>46059</v>
      </c>
      <c r="B261" s="3" t="s">
        <v>89</v>
      </c>
      <c r="C261" s="3">
        <v>3303.58</v>
      </c>
      <c r="D261" s="3">
        <v>80</v>
      </c>
      <c r="E261" s="3">
        <v>0</v>
      </c>
      <c r="F261" s="3">
        <v>0</v>
      </c>
      <c r="G261" s="3">
        <v>843.68</v>
      </c>
      <c r="H261" s="3">
        <v>0</v>
      </c>
      <c r="I261" s="3">
        <v>2459.9</v>
      </c>
    </row>
    <row r="262" spans="1:9">
      <c r="A262" s="3">
        <v>46059</v>
      </c>
      <c r="B262" s="3" t="s">
        <v>94</v>
      </c>
      <c r="C262" s="3">
        <v>3552.86</v>
      </c>
      <c r="D262" s="3">
        <v>80</v>
      </c>
      <c r="E262" s="3">
        <v>0</v>
      </c>
      <c r="F262" s="3">
        <v>0</v>
      </c>
      <c r="G262" s="3">
        <v>699.09</v>
      </c>
      <c r="H262" s="3">
        <v>310</v>
      </c>
      <c r="I262" s="3">
        <v>2543.77</v>
      </c>
    </row>
    <row r="263" spans="1:9">
      <c r="A263" s="3">
        <v>46059</v>
      </c>
      <c r="B263" s="3" t="s">
        <v>96</v>
      </c>
      <c r="C263" s="3">
        <v>4523.51</v>
      </c>
      <c r="D263" s="3">
        <v>80</v>
      </c>
      <c r="E263" s="3">
        <v>4</v>
      </c>
      <c r="F263" s="3">
        <v>0</v>
      </c>
      <c r="G263" s="3">
        <v>1045.46</v>
      </c>
      <c r="H263" s="3">
        <v>185</v>
      </c>
      <c r="I263" s="3">
        <v>3293.05</v>
      </c>
    </row>
    <row r="264" spans="1:9">
      <c r="A264" s="3">
        <v>46059</v>
      </c>
      <c r="B264" s="3" t="s">
        <v>98</v>
      </c>
      <c r="C264" s="3">
        <v>4835.38</v>
      </c>
      <c r="D264" s="3">
        <v>80</v>
      </c>
      <c r="E264" s="3">
        <v>0</v>
      </c>
      <c r="F264" s="3">
        <v>0</v>
      </c>
      <c r="G264" s="3">
        <v>1300.81</v>
      </c>
      <c r="H264" s="3">
        <v>310</v>
      </c>
      <c r="I264" s="3">
        <v>3224.57</v>
      </c>
    </row>
    <row r="265" spans="1:9">
      <c r="A265" s="3">
        <v>46059</v>
      </c>
      <c r="B265" s="3" t="s">
        <v>106</v>
      </c>
      <c r="C265" s="3">
        <v>3260.27</v>
      </c>
      <c r="D265" s="3">
        <v>80</v>
      </c>
      <c r="E265" s="3">
        <v>10</v>
      </c>
      <c r="F265" s="3">
        <v>0</v>
      </c>
      <c r="G265" s="3">
        <v>724.18</v>
      </c>
      <c r="H265" s="3">
        <v>0</v>
      </c>
      <c r="I265" s="3">
        <v>2536.09</v>
      </c>
    </row>
    <row r="266" spans="1:9">
      <c r="A266" s="3">
        <v>46059</v>
      </c>
      <c r="B266" s="3" t="s">
        <v>111</v>
      </c>
      <c r="C266" s="3">
        <v>4740.08</v>
      </c>
      <c r="D266" s="3">
        <v>80</v>
      </c>
      <c r="E266" s="3">
        <v>2</v>
      </c>
      <c r="F266" s="3">
        <v>0</v>
      </c>
      <c r="G266" s="3">
        <v>1165.1199999999999</v>
      </c>
      <c r="H266" s="3">
        <v>310</v>
      </c>
      <c r="I266" s="3">
        <v>3264.96</v>
      </c>
    </row>
    <row r="267" spans="1:9">
      <c r="A267" s="3">
        <v>46059</v>
      </c>
      <c r="B267" s="3" t="s">
        <v>115</v>
      </c>
      <c r="C267" s="3">
        <v>4412.18</v>
      </c>
      <c r="D267" s="3">
        <v>80</v>
      </c>
      <c r="E267" s="3">
        <v>4</v>
      </c>
      <c r="F267" s="3">
        <v>500</v>
      </c>
      <c r="G267" s="3">
        <v>1086.7</v>
      </c>
      <c r="H267" s="3">
        <v>185</v>
      </c>
      <c r="I267" s="3">
        <v>3140.48</v>
      </c>
    </row>
    <row r="268" spans="1:9">
      <c r="A268" s="3">
        <v>46059</v>
      </c>
      <c r="B268" s="3" t="s">
        <v>118</v>
      </c>
      <c r="C268" s="3">
        <v>3318.35</v>
      </c>
      <c r="D268" s="3">
        <v>80</v>
      </c>
      <c r="E268" s="3">
        <v>4</v>
      </c>
      <c r="F268" s="3">
        <v>250</v>
      </c>
      <c r="G268" s="3">
        <v>654.99</v>
      </c>
      <c r="H268" s="3">
        <v>0</v>
      </c>
      <c r="I268" s="3">
        <v>2663.36</v>
      </c>
    </row>
    <row r="269" spans="1:9">
      <c r="A269" s="3">
        <v>46059</v>
      </c>
      <c r="B269" s="3" t="s">
        <v>120</v>
      </c>
      <c r="C269" s="3">
        <v>5352.65</v>
      </c>
      <c r="D269" s="3">
        <v>80</v>
      </c>
      <c r="E269" s="3">
        <v>8</v>
      </c>
      <c r="F269" s="3">
        <v>0</v>
      </c>
      <c r="G269" s="3">
        <v>1005.26</v>
      </c>
      <c r="H269" s="3">
        <v>0</v>
      </c>
      <c r="I269" s="3">
        <v>4347.3900000000003</v>
      </c>
    </row>
    <row r="270" spans="1:9">
      <c r="A270" s="3">
        <v>46059</v>
      </c>
      <c r="B270" s="3" t="s">
        <v>123</v>
      </c>
      <c r="C270" s="3">
        <v>3524.08</v>
      </c>
      <c r="D270" s="3">
        <v>80</v>
      </c>
      <c r="E270" s="3">
        <v>0</v>
      </c>
      <c r="F270" s="3">
        <v>0</v>
      </c>
      <c r="G270" s="3">
        <v>785.77</v>
      </c>
      <c r="H270" s="3">
        <v>185</v>
      </c>
      <c r="I270" s="3">
        <v>2553.31</v>
      </c>
    </row>
    <row r="271" spans="1:9">
      <c r="A271" s="3">
        <v>46059</v>
      </c>
      <c r="B271" s="3" t="s">
        <v>125</v>
      </c>
      <c r="C271" s="3">
        <v>4776.49</v>
      </c>
      <c r="D271" s="3">
        <v>80</v>
      </c>
      <c r="E271" s="3">
        <v>2</v>
      </c>
      <c r="F271" s="3">
        <v>0</v>
      </c>
      <c r="G271" s="3">
        <v>961.02</v>
      </c>
      <c r="H271" s="3">
        <v>185</v>
      </c>
      <c r="I271" s="3">
        <v>3630.47</v>
      </c>
    </row>
    <row r="272" spans="1:9">
      <c r="A272" s="3">
        <v>46059</v>
      </c>
      <c r="B272" s="3" t="s">
        <v>127</v>
      </c>
      <c r="C272" s="3">
        <v>3256.44</v>
      </c>
      <c r="D272" s="3">
        <v>80</v>
      </c>
      <c r="E272" s="3">
        <v>4</v>
      </c>
      <c r="F272" s="3">
        <v>0</v>
      </c>
      <c r="G272" s="3">
        <v>798.02</v>
      </c>
      <c r="H272" s="3">
        <v>0</v>
      </c>
      <c r="I272" s="3">
        <v>2458.42</v>
      </c>
    </row>
    <row r="273" spans="1:9">
      <c r="A273" s="3">
        <v>46059</v>
      </c>
      <c r="B273" s="3" t="s">
        <v>131</v>
      </c>
      <c r="C273" s="3">
        <v>4546.1400000000003</v>
      </c>
      <c r="D273" s="3">
        <v>80</v>
      </c>
      <c r="E273" s="3">
        <v>0</v>
      </c>
      <c r="F273" s="3">
        <v>0</v>
      </c>
      <c r="G273" s="3">
        <v>1101.75</v>
      </c>
      <c r="H273" s="3">
        <v>310</v>
      </c>
      <c r="I273" s="3">
        <v>3134.39</v>
      </c>
    </row>
    <row r="274" spans="1:9">
      <c r="A274" s="3">
        <v>46059</v>
      </c>
      <c r="B274" s="3" t="s">
        <v>135</v>
      </c>
      <c r="C274" s="3">
        <v>3596.29</v>
      </c>
      <c r="D274" s="3">
        <v>80</v>
      </c>
      <c r="E274" s="3">
        <v>0</v>
      </c>
      <c r="F274" s="3">
        <v>500</v>
      </c>
      <c r="G274" s="3">
        <v>746.64</v>
      </c>
      <c r="H274" s="3">
        <v>0</v>
      </c>
      <c r="I274" s="3">
        <v>2849.65</v>
      </c>
    </row>
    <row r="275" spans="1:9">
      <c r="A275" s="3">
        <v>46059</v>
      </c>
      <c r="B275" s="3" t="s">
        <v>137</v>
      </c>
      <c r="C275" s="3">
        <v>4657.79</v>
      </c>
      <c r="D275" s="3">
        <v>80</v>
      </c>
      <c r="E275" s="3">
        <v>8</v>
      </c>
      <c r="F275" s="3">
        <v>500</v>
      </c>
      <c r="G275" s="3">
        <v>1213.6400000000001</v>
      </c>
      <c r="H275" s="3">
        <v>185</v>
      </c>
      <c r="I275" s="3">
        <v>3259.15</v>
      </c>
    </row>
    <row r="276" spans="1:9">
      <c r="A276" s="3">
        <v>46059</v>
      </c>
      <c r="B276" s="3" t="s">
        <v>139</v>
      </c>
      <c r="C276" s="3">
        <v>5649.16</v>
      </c>
      <c r="D276" s="3">
        <v>80</v>
      </c>
      <c r="E276" s="3">
        <v>4</v>
      </c>
      <c r="F276" s="3">
        <v>500</v>
      </c>
      <c r="G276" s="3">
        <v>1482.63</v>
      </c>
      <c r="H276" s="3">
        <v>0</v>
      </c>
      <c r="I276" s="3">
        <v>4166.53</v>
      </c>
    </row>
    <row r="277" spans="1:9">
      <c r="A277" s="3">
        <v>46059</v>
      </c>
      <c r="B277" s="3" t="s">
        <v>142</v>
      </c>
      <c r="C277" s="3">
        <v>2651.89</v>
      </c>
      <c r="D277" s="3">
        <v>80</v>
      </c>
      <c r="E277" s="3">
        <v>4</v>
      </c>
      <c r="F277" s="3">
        <v>0</v>
      </c>
      <c r="G277" s="3">
        <v>529.64</v>
      </c>
      <c r="H277" s="3">
        <v>0</v>
      </c>
      <c r="I277" s="3">
        <v>2122.25</v>
      </c>
    </row>
    <row r="278" spans="1:9">
      <c r="A278" s="3">
        <v>46059</v>
      </c>
      <c r="B278" s="3" t="s">
        <v>145</v>
      </c>
      <c r="C278" s="3">
        <v>2251.89</v>
      </c>
      <c r="D278" s="3">
        <v>80</v>
      </c>
      <c r="E278" s="3">
        <v>0</v>
      </c>
      <c r="F278" s="3">
        <v>0</v>
      </c>
      <c r="G278" s="3">
        <v>556.88</v>
      </c>
      <c r="H278" s="3">
        <v>310</v>
      </c>
      <c r="I278" s="3">
        <v>1385.01</v>
      </c>
    </row>
    <row r="279" spans="1:9">
      <c r="A279" s="3">
        <v>46059</v>
      </c>
      <c r="B279" s="3" t="s">
        <v>148</v>
      </c>
      <c r="C279" s="3">
        <v>2962.48</v>
      </c>
      <c r="D279" s="3">
        <v>80</v>
      </c>
      <c r="E279" s="3">
        <v>6</v>
      </c>
      <c r="F279" s="3">
        <v>0</v>
      </c>
      <c r="G279" s="3">
        <v>776.62</v>
      </c>
      <c r="H279" s="3">
        <v>310</v>
      </c>
      <c r="I279" s="3">
        <v>1875.86</v>
      </c>
    </row>
    <row r="280" spans="1:9">
      <c r="A280" s="3">
        <v>46059</v>
      </c>
      <c r="B280" s="3" t="s">
        <v>150</v>
      </c>
      <c r="C280" s="3">
        <v>2562.87</v>
      </c>
      <c r="D280" s="3">
        <v>80</v>
      </c>
      <c r="E280" s="3">
        <v>2</v>
      </c>
      <c r="F280" s="3">
        <v>0</v>
      </c>
      <c r="G280" s="3">
        <v>598.75</v>
      </c>
      <c r="H280" s="3">
        <v>185</v>
      </c>
      <c r="I280" s="3">
        <v>1779.12</v>
      </c>
    </row>
    <row r="281" spans="1:9">
      <c r="A281" s="3">
        <v>46059</v>
      </c>
      <c r="B281" s="3" t="s">
        <v>151</v>
      </c>
      <c r="C281" s="3">
        <v>4593.49</v>
      </c>
      <c r="D281" s="3">
        <v>80</v>
      </c>
      <c r="E281" s="3">
        <v>0</v>
      </c>
      <c r="F281" s="3">
        <v>250</v>
      </c>
      <c r="G281" s="3">
        <v>1117.78</v>
      </c>
      <c r="H281" s="3">
        <v>185</v>
      </c>
      <c r="I281" s="3">
        <v>3290.71</v>
      </c>
    </row>
    <row r="282" spans="1:9">
      <c r="A282" s="3">
        <v>46059</v>
      </c>
      <c r="B282" s="3" t="s">
        <v>153</v>
      </c>
      <c r="C282" s="3">
        <v>4461.38</v>
      </c>
      <c r="D282" s="3">
        <v>80</v>
      </c>
      <c r="E282" s="3">
        <v>0</v>
      </c>
      <c r="F282" s="3">
        <v>250</v>
      </c>
      <c r="G282" s="3">
        <v>1135.82</v>
      </c>
      <c r="H282" s="3">
        <v>310</v>
      </c>
      <c r="I282" s="3">
        <v>3015.56</v>
      </c>
    </row>
    <row r="283" spans="1:9">
      <c r="A283" s="3">
        <v>46059</v>
      </c>
      <c r="B283" s="3" t="s">
        <v>156</v>
      </c>
      <c r="C283" s="3">
        <v>3404.23</v>
      </c>
      <c r="D283" s="3">
        <v>80</v>
      </c>
      <c r="E283" s="3">
        <v>2</v>
      </c>
      <c r="F283" s="3">
        <v>250</v>
      </c>
      <c r="G283" s="3">
        <v>663.17</v>
      </c>
      <c r="H283" s="3">
        <v>185</v>
      </c>
      <c r="I283" s="3">
        <v>2556.06</v>
      </c>
    </row>
    <row r="284" spans="1:9">
      <c r="A284" s="3">
        <v>46059</v>
      </c>
      <c r="B284" s="3" t="s">
        <v>158</v>
      </c>
      <c r="C284" s="3">
        <v>2657.98</v>
      </c>
      <c r="D284" s="3">
        <v>80</v>
      </c>
      <c r="E284" s="3">
        <v>10</v>
      </c>
      <c r="F284" s="3">
        <v>0</v>
      </c>
      <c r="G284" s="3">
        <v>649.94000000000005</v>
      </c>
      <c r="H284" s="3">
        <v>0</v>
      </c>
      <c r="I284" s="3">
        <v>2008.04</v>
      </c>
    </row>
    <row r="285" spans="1:9">
      <c r="A285" s="3">
        <v>46059</v>
      </c>
      <c r="B285" s="3" t="s">
        <v>160</v>
      </c>
      <c r="C285" s="3">
        <v>3445.46</v>
      </c>
      <c r="D285" s="3">
        <v>80</v>
      </c>
      <c r="E285" s="3">
        <v>10</v>
      </c>
      <c r="F285" s="3">
        <v>0</v>
      </c>
      <c r="G285" s="3">
        <v>758.32</v>
      </c>
      <c r="H285" s="3">
        <v>185</v>
      </c>
      <c r="I285" s="3">
        <v>2502.14</v>
      </c>
    </row>
    <row r="286" spans="1:9">
      <c r="A286" s="3">
        <v>46059</v>
      </c>
      <c r="B286" s="3" t="s">
        <v>163</v>
      </c>
      <c r="C286" s="3">
        <v>3173.91</v>
      </c>
      <c r="D286" s="3">
        <v>80</v>
      </c>
      <c r="E286" s="3">
        <v>0</v>
      </c>
      <c r="F286" s="3">
        <v>0</v>
      </c>
      <c r="G286" s="3">
        <v>689.97</v>
      </c>
      <c r="H286" s="3">
        <v>0</v>
      </c>
      <c r="I286" s="3">
        <v>2483.94</v>
      </c>
    </row>
    <row r="287" spans="1:9">
      <c r="A287" s="3">
        <v>46059</v>
      </c>
      <c r="B287" s="3" t="s">
        <v>166</v>
      </c>
      <c r="C287" s="3">
        <v>4786.58</v>
      </c>
      <c r="D287" s="3">
        <v>80</v>
      </c>
      <c r="E287" s="3">
        <v>0</v>
      </c>
      <c r="F287" s="3">
        <v>250</v>
      </c>
      <c r="G287" s="3">
        <v>1209.2</v>
      </c>
      <c r="H287" s="3">
        <v>310</v>
      </c>
      <c r="I287" s="3">
        <v>3267.38</v>
      </c>
    </row>
    <row r="288" spans="1:9">
      <c r="A288" s="3">
        <v>46059</v>
      </c>
      <c r="B288" s="3" t="s">
        <v>168</v>
      </c>
      <c r="C288" s="3">
        <v>2603.1</v>
      </c>
      <c r="D288" s="3">
        <v>80</v>
      </c>
      <c r="E288" s="3">
        <v>0</v>
      </c>
      <c r="F288" s="3">
        <v>0</v>
      </c>
      <c r="G288" s="3">
        <v>469.26</v>
      </c>
      <c r="H288" s="3">
        <v>0</v>
      </c>
      <c r="I288" s="3">
        <v>2133.84</v>
      </c>
    </row>
    <row r="289" spans="1:9">
      <c r="A289" s="3">
        <v>46059</v>
      </c>
      <c r="B289" s="3" t="s">
        <v>170</v>
      </c>
      <c r="C289" s="3">
        <v>2782.5</v>
      </c>
      <c r="D289" s="3">
        <v>80</v>
      </c>
      <c r="E289" s="3">
        <v>2</v>
      </c>
      <c r="F289" s="3">
        <v>250</v>
      </c>
      <c r="G289" s="3">
        <v>606.95000000000005</v>
      </c>
      <c r="H289" s="3">
        <v>185</v>
      </c>
      <c r="I289" s="3">
        <v>1990.55</v>
      </c>
    </row>
    <row r="290" spans="1:9">
      <c r="A290" s="3">
        <v>46059</v>
      </c>
      <c r="B290" s="3" t="s">
        <v>172</v>
      </c>
      <c r="C290" s="3">
        <v>3467.02</v>
      </c>
      <c r="D290" s="3">
        <v>80</v>
      </c>
      <c r="E290" s="3">
        <v>0</v>
      </c>
      <c r="F290" s="3">
        <v>250</v>
      </c>
      <c r="G290" s="3">
        <v>915.68</v>
      </c>
      <c r="H290" s="3">
        <v>310</v>
      </c>
      <c r="I290" s="3">
        <v>2241.34</v>
      </c>
    </row>
    <row r="291" spans="1:9">
      <c r="A291" s="3">
        <v>46059</v>
      </c>
      <c r="B291" s="3" t="s">
        <v>175</v>
      </c>
      <c r="C291" s="3">
        <v>4668.8999999999996</v>
      </c>
      <c r="D291" s="3">
        <v>80</v>
      </c>
      <c r="E291" s="3">
        <v>0</v>
      </c>
      <c r="F291" s="3">
        <v>0</v>
      </c>
      <c r="G291" s="3">
        <v>1012.21</v>
      </c>
      <c r="H291" s="3">
        <v>310</v>
      </c>
      <c r="I291" s="3">
        <v>3346.69</v>
      </c>
    </row>
    <row r="292" spans="1:9">
      <c r="A292" s="3">
        <v>46059</v>
      </c>
      <c r="B292" s="3" t="s">
        <v>177</v>
      </c>
      <c r="C292" s="3">
        <v>3831.61</v>
      </c>
      <c r="D292" s="3">
        <v>80</v>
      </c>
      <c r="E292" s="3">
        <v>0</v>
      </c>
      <c r="F292" s="3">
        <v>500</v>
      </c>
      <c r="G292" s="3">
        <v>912.42</v>
      </c>
      <c r="H292" s="3">
        <v>310</v>
      </c>
      <c r="I292" s="3">
        <v>2609.19</v>
      </c>
    </row>
    <row r="293" spans="1:9">
      <c r="A293" s="3">
        <v>46059</v>
      </c>
      <c r="B293" s="3" t="s">
        <v>179</v>
      </c>
      <c r="C293" s="3">
        <v>5066.9799999999996</v>
      </c>
      <c r="D293" s="3">
        <v>80</v>
      </c>
      <c r="E293" s="3">
        <v>8</v>
      </c>
      <c r="F293" s="3">
        <v>0</v>
      </c>
      <c r="G293" s="3">
        <v>1086.48</v>
      </c>
      <c r="H293" s="3">
        <v>310</v>
      </c>
      <c r="I293" s="3">
        <v>3670.5</v>
      </c>
    </row>
    <row r="294" spans="1:9">
      <c r="A294" s="3">
        <v>46059</v>
      </c>
      <c r="B294" s="3" t="s">
        <v>181</v>
      </c>
      <c r="C294" s="3">
        <v>4136.67</v>
      </c>
      <c r="D294" s="3">
        <v>80</v>
      </c>
      <c r="E294" s="3">
        <v>8</v>
      </c>
      <c r="F294" s="3">
        <v>0</v>
      </c>
      <c r="G294" s="3">
        <v>1103.55</v>
      </c>
      <c r="H294" s="3">
        <v>185</v>
      </c>
      <c r="I294" s="3">
        <v>2848.12</v>
      </c>
    </row>
    <row r="295" spans="1:9">
      <c r="A295" s="3">
        <v>46059</v>
      </c>
      <c r="B295" s="3" t="s">
        <v>183</v>
      </c>
      <c r="C295" s="3">
        <v>2556.4699999999998</v>
      </c>
      <c r="D295" s="3">
        <v>80</v>
      </c>
      <c r="E295" s="3">
        <v>0</v>
      </c>
      <c r="F295" s="3">
        <v>500</v>
      </c>
      <c r="G295" s="3">
        <v>487.46</v>
      </c>
      <c r="H295" s="3">
        <v>185</v>
      </c>
      <c r="I295" s="3">
        <v>1884.01</v>
      </c>
    </row>
    <row r="296" spans="1:9">
      <c r="A296" s="3">
        <v>46059</v>
      </c>
      <c r="B296" s="3" t="s">
        <v>186</v>
      </c>
      <c r="C296" s="3">
        <v>5804.48</v>
      </c>
      <c r="D296" s="3">
        <v>80</v>
      </c>
      <c r="E296" s="3">
        <v>8</v>
      </c>
      <c r="F296" s="3">
        <v>250</v>
      </c>
      <c r="G296" s="3">
        <v>1556.1</v>
      </c>
      <c r="H296" s="3">
        <v>0</v>
      </c>
      <c r="I296" s="3">
        <v>4248.38</v>
      </c>
    </row>
    <row r="297" spans="1:9">
      <c r="A297" s="3">
        <v>46059</v>
      </c>
      <c r="B297" s="3" t="s">
        <v>190</v>
      </c>
      <c r="C297" s="3">
        <v>3754.69</v>
      </c>
      <c r="D297" s="3">
        <v>80</v>
      </c>
      <c r="E297" s="3">
        <v>0</v>
      </c>
      <c r="F297" s="3">
        <v>0</v>
      </c>
      <c r="G297" s="3">
        <v>832.3</v>
      </c>
      <c r="H297" s="3">
        <v>185</v>
      </c>
      <c r="I297" s="3">
        <v>2737.39</v>
      </c>
    </row>
    <row r="298" spans="1:9">
      <c r="A298" s="3">
        <v>46059</v>
      </c>
      <c r="B298" s="3" t="s">
        <v>193</v>
      </c>
      <c r="C298" s="3">
        <v>3870.85</v>
      </c>
      <c r="D298" s="3">
        <v>80</v>
      </c>
      <c r="E298" s="3">
        <v>8</v>
      </c>
      <c r="F298" s="3">
        <v>250</v>
      </c>
      <c r="G298" s="3">
        <v>776.76</v>
      </c>
      <c r="H298" s="3">
        <v>185</v>
      </c>
      <c r="I298" s="3">
        <v>2909.09</v>
      </c>
    </row>
    <row r="299" spans="1:9">
      <c r="A299" s="3">
        <v>46059</v>
      </c>
      <c r="B299" s="3" t="s">
        <v>195</v>
      </c>
      <c r="C299" s="3">
        <v>3773.57</v>
      </c>
      <c r="D299" s="3">
        <v>80</v>
      </c>
      <c r="E299" s="3">
        <v>10</v>
      </c>
      <c r="F299" s="3">
        <v>0</v>
      </c>
      <c r="G299" s="3">
        <v>743.25</v>
      </c>
      <c r="H299" s="3">
        <v>310</v>
      </c>
      <c r="I299" s="3">
        <v>2720.32</v>
      </c>
    </row>
    <row r="300" spans="1:9">
      <c r="A300" s="3">
        <v>46059</v>
      </c>
      <c r="B300" s="3" t="s">
        <v>197</v>
      </c>
      <c r="C300" s="3">
        <v>2977.01</v>
      </c>
      <c r="D300" s="3">
        <v>80</v>
      </c>
      <c r="E300" s="3">
        <v>0</v>
      </c>
      <c r="F300" s="3">
        <v>0</v>
      </c>
      <c r="G300" s="3">
        <v>648.19000000000005</v>
      </c>
      <c r="H300" s="3">
        <v>310</v>
      </c>
      <c r="I300" s="3">
        <v>2018.82</v>
      </c>
    </row>
    <row r="301" spans="1:9">
      <c r="A301" s="3">
        <v>46059</v>
      </c>
      <c r="B301" s="3" t="s">
        <v>199</v>
      </c>
      <c r="C301" s="3">
        <v>3946.84</v>
      </c>
      <c r="D301" s="3">
        <v>80</v>
      </c>
      <c r="E301" s="3">
        <v>0</v>
      </c>
      <c r="F301" s="3">
        <v>0</v>
      </c>
      <c r="G301" s="3">
        <v>746.27</v>
      </c>
      <c r="H301" s="3">
        <v>310</v>
      </c>
      <c r="I301" s="3">
        <v>2890.57</v>
      </c>
    </row>
    <row r="302" spans="1:9">
      <c r="A302" s="3">
        <v>46059</v>
      </c>
      <c r="B302" s="3" t="s">
        <v>201</v>
      </c>
      <c r="C302" s="3">
        <v>4620.2700000000004</v>
      </c>
      <c r="D302" s="3">
        <v>80</v>
      </c>
      <c r="E302" s="3">
        <v>0</v>
      </c>
      <c r="F302" s="3">
        <v>0</v>
      </c>
      <c r="G302" s="3">
        <v>1124.0899999999999</v>
      </c>
      <c r="H302" s="3">
        <v>310</v>
      </c>
      <c r="I302" s="3">
        <v>3186.18</v>
      </c>
    </row>
    <row r="303" spans="1:9">
      <c r="A303" s="3">
        <v>46059</v>
      </c>
      <c r="B303" s="3" t="s">
        <v>204</v>
      </c>
      <c r="C303" s="3">
        <v>2165.88</v>
      </c>
      <c r="D303" s="3">
        <v>80</v>
      </c>
      <c r="E303" s="3">
        <v>0</v>
      </c>
      <c r="F303" s="3">
        <v>0</v>
      </c>
      <c r="G303" s="3">
        <v>468.27</v>
      </c>
      <c r="H303" s="3">
        <v>185</v>
      </c>
      <c r="I303" s="3">
        <v>1512.61</v>
      </c>
    </row>
    <row r="304" spans="1:9">
      <c r="A304" s="3">
        <v>46059</v>
      </c>
      <c r="B304" s="3" t="s">
        <v>206</v>
      </c>
      <c r="C304" s="3">
        <v>2869.51</v>
      </c>
      <c r="D304" s="3">
        <v>80</v>
      </c>
      <c r="E304" s="3">
        <v>2</v>
      </c>
      <c r="F304" s="3">
        <v>250</v>
      </c>
      <c r="G304" s="3">
        <v>739.58</v>
      </c>
      <c r="H304" s="3">
        <v>310</v>
      </c>
      <c r="I304" s="3">
        <v>1819.93</v>
      </c>
    </row>
    <row r="305" spans="1:9">
      <c r="A305" s="3">
        <v>46059</v>
      </c>
      <c r="B305" s="3" t="s">
        <v>209</v>
      </c>
      <c r="C305" s="3">
        <v>4538.6499999999996</v>
      </c>
      <c r="D305" s="3">
        <v>80</v>
      </c>
      <c r="E305" s="3">
        <v>0</v>
      </c>
      <c r="F305" s="3">
        <v>0</v>
      </c>
      <c r="G305" s="3">
        <v>935.11</v>
      </c>
      <c r="H305" s="3">
        <v>0</v>
      </c>
      <c r="I305" s="3">
        <v>3603.54</v>
      </c>
    </row>
    <row r="306" spans="1:9">
      <c r="A306" s="3">
        <v>46059</v>
      </c>
      <c r="B306" s="3" t="s">
        <v>211</v>
      </c>
      <c r="C306" s="3">
        <v>3121.71</v>
      </c>
      <c r="D306" s="3">
        <v>80</v>
      </c>
      <c r="E306" s="3">
        <v>6</v>
      </c>
      <c r="F306" s="3">
        <v>250</v>
      </c>
      <c r="G306" s="3">
        <v>750.86</v>
      </c>
      <c r="H306" s="3">
        <v>0</v>
      </c>
      <c r="I306" s="3">
        <v>2370.85</v>
      </c>
    </row>
    <row r="307" spans="1:9">
      <c r="A307" s="3">
        <v>46059</v>
      </c>
      <c r="B307" s="3" t="s">
        <v>213</v>
      </c>
      <c r="C307" s="3">
        <v>5210.25</v>
      </c>
      <c r="D307" s="3">
        <v>80</v>
      </c>
      <c r="E307" s="3">
        <v>6</v>
      </c>
      <c r="F307" s="3">
        <v>0</v>
      </c>
      <c r="G307" s="3">
        <v>1005.02</v>
      </c>
      <c r="H307" s="3">
        <v>185</v>
      </c>
      <c r="I307" s="3">
        <v>4020.23</v>
      </c>
    </row>
    <row r="308" spans="1:9">
      <c r="A308" s="3">
        <v>46059</v>
      </c>
      <c r="B308" s="3" t="s">
        <v>215</v>
      </c>
      <c r="C308" s="3">
        <v>3581.38</v>
      </c>
      <c r="D308" s="3">
        <v>80</v>
      </c>
      <c r="E308" s="3">
        <v>2</v>
      </c>
      <c r="F308" s="3">
        <v>0</v>
      </c>
      <c r="G308" s="3">
        <v>664.3</v>
      </c>
      <c r="H308" s="3">
        <v>310</v>
      </c>
      <c r="I308" s="3">
        <v>2607.08</v>
      </c>
    </row>
    <row r="309" spans="1:9">
      <c r="A309" s="3">
        <v>46059</v>
      </c>
      <c r="B309" s="3" t="s">
        <v>218</v>
      </c>
      <c r="C309" s="3">
        <v>5470.48</v>
      </c>
      <c r="D309" s="3">
        <v>80</v>
      </c>
      <c r="E309" s="3">
        <v>0</v>
      </c>
      <c r="F309" s="3">
        <v>500</v>
      </c>
      <c r="G309" s="3">
        <v>1258.3599999999999</v>
      </c>
      <c r="H309" s="3">
        <v>0</v>
      </c>
      <c r="I309" s="3">
        <v>4212.12</v>
      </c>
    </row>
    <row r="310" spans="1:9">
      <c r="A310" s="3">
        <v>46059</v>
      </c>
      <c r="B310" s="3" t="s">
        <v>220</v>
      </c>
      <c r="C310" s="3">
        <v>4329.7700000000004</v>
      </c>
      <c r="D310" s="3">
        <v>80</v>
      </c>
      <c r="E310" s="3">
        <v>0</v>
      </c>
      <c r="F310" s="3">
        <v>0</v>
      </c>
      <c r="G310" s="3">
        <v>1040.97</v>
      </c>
      <c r="H310" s="3">
        <v>0</v>
      </c>
      <c r="I310" s="3">
        <v>3288.8</v>
      </c>
    </row>
    <row r="311" spans="1:9">
      <c r="A311" s="3">
        <v>46059</v>
      </c>
      <c r="B311" s="3" t="s">
        <v>222</v>
      </c>
      <c r="C311" s="3">
        <v>3191.51</v>
      </c>
      <c r="D311" s="3">
        <v>80</v>
      </c>
      <c r="E311" s="3">
        <v>6</v>
      </c>
      <c r="F311" s="3">
        <v>500</v>
      </c>
      <c r="G311" s="3">
        <v>617.33000000000004</v>
      </c>
      <c r="H311" s="3">
        <v>185</v>
      </c>
      <c r="I311" s="3">
        <v>2389.1799999999998</v>
      </c>
    </row>
    <row r="312" spans="1:9">
      <c r="A312" s="3">
        <v>46059</v>
      </c>
      <c r="B312" s="3" t="s">
        <v>225</v>
      </c>
      <c r="C312" s="3">
        <v>3683.83</v>
      </c>
      <c r="D312" s="3">
        <v>80</v>
      </c>
      <c r="E312" s="3">
        <v>8</v>
      </c>
      <c r="F312" s="3">
        <v>0</v>
      </c>
      <c r="G312" s="3">
        <v>820.08</v>
      </c>
      <c r="H312" s="3">
        <v>310</v>
      </c>
      <c r="I312" s="3">
        <v>2553.75</v>
      </c>
    </row>
    <row r="313" spans="1:9">
      <c r="A313" s="3">
        <v>46059</v>
      </c>
      <c r="B313" s="3" t="s">
        <v>227</v>
      </c>
      <c r="C313" s="3">
        <v>4048.18</v>
      </c>
      <c r="D313" s="3">
        <v>80</v>
      </c>
      <c r="E313" s="3">
        <v>2</v>
      </c>
      <c r="F313" s="3">
        <v>0</v>
      </c>
      <c r="G313" s="3">
        <v>781.26</v>
      </c>
      <c r="H313" s="3">
        <v>310</v>
      </c>
      <c r="I313" s="3">
        <v>2956.92</v>
      </c>
    </row>
    <row r="314" spans="1:9">
      <c r="A314" s="3">
        <v>46059</v>
      </c>
      <c r="B314" s="3" t="s">
        <v>229</v>
      </c>
      <c r="C314" s="3">
        <v>3382.97</v>
      </c>
      <c r="D314" s="3">
        <v>80</v>
      </c>
      <c r="E314" s="3">
        <v>10</v>
      </c>
      <c r="F314" s="3">
        <v>0</v>
      </c>
      <c r="G314" s="3">
        <v>903.59</v>
      </c>
      <c r="H314" s="3">
        <v>0</v>
      </c>
      <c r="I314" s="3">
        <v>2479.38</v>
      </c>
    </row>
    <row r="315" spans="1:9">
      <c r="A315" s="3">
        <v>46059</v>
      </c>
      <c r="B315" s="3" t="s">
        <v>231</v>
      </c>
      <c r="C315" s="3">
        <v>4256.37</v>
      </c>
      <c r="D315" s="3">
        <v>80</v>
      </c>
      <c r="E315" s="3">
        <v>0</v>
      </c>
      <c r="F315" s="3">
        <v>0</v>
      </c>
      <c r="G315" s="3">
        <v>844.04</v>
      </c>
      <c r="H315" s="3">
        <v>0</v>
      </c>
      <c r="I315" s="3">
        <v>3412.33</v>
      </c>
    </row>
    <row r="316" spans="1:9">
      <c r="A316" s="3">
        <v>46059</v>
      </c>
      <c r="B316" s="3" t="s">
        <v>233</v>
      </c>
      <c r="C316" s="3">
        <v>4094.28</v>
      </c>
      <c r="D316" s="3">
        <v>80</v>
      </c>
      <c r="E316" s="3">
        <v>0</v>
      </c>
      <c r="F316" s="3">
        <v>0</v>
      </c>
      <c r="G316" s="3">
        <v>771.04</v>
      </c>
      <c r="H316" s="3">
        <v>0</v>
      </c>
      <c r="I316" s="3">
        <v>3323.24</v>
      </c>
    </row>
    <row r="317" spans="1:9">
      <c r="A317" s="3">
        <v>46059</v>
      </c>
      <c r="B317" s="3" t="s">
        <v>234</v>
      </c>
      <c r="C317" s="3">
        <v>3460.06</v>
      </c>
      <c r="D317" s="3">
        <v>80</v>
      </c>
      <c r="E317" s="3">
        <v>2</v>
      </c>
      <c r="F317" s="3">
        <v>0</v>
      </c>
      <c r="G317" s="3">
        <v>832.6</v>
      </c>
      <c r="H317" s="3">
        <v>0</v>
      </c>
      <c r="I317" s="3">
        <v>2627.46</v>
      </c>
    </row>
    <row r="318" spans="1:9">
      <c r="A318" s="3">
        <v>46059</v>
      </c>
      <c r="B318" s="3" t="s">
        <v>236</v>
      </c>
      <c r="C318" s="3">
        <v>3138.26</v>
      </c>
      <c r="D318" s="3">
        <v>80</v>
      </c>
      <c r="E318" s="3">
        <v>0</v>
      </c>
      <c r="F318" s="3">
        <v>0</v>
      </c>
      <c r="G318" s="3">
        <v>780.02</v>
      </c>
      <c r="H318" s="3">
        <v>310</v>
      </c>
      <c r="I318" s="3">
        <v>2048.2399999999998</v>
      </c>
    </row>
    <row r="319" spans="1:9">
      <c r="A319" s="3">
        <v>46059</v>
      </c>
      <c r="B319" s="3" t="s">
        <v>238</v>
      </c>
      <c r="C319" s="3">
        <v>4015.74</v>
      </c>
      <c r="D319" s="3">
        <v>80</v>
      </c>
      <c r="E319" s="3">
        <v>2</v>
      </c>
      <c r="F319" s="3">
        <v>0</v>
      </c>
      <c r="G319" s="3">
        <v>1050.6500000000001</v>
      </c>
      <c r="H319" s="3">
        <v>0</v>
      </c>
      <c r="I319" s="3">
        <v>2965.09</v>
      </c>
    </row>
    <row r="320" spans="1:9">
      <c r="A320" s="3">
        <v>46059</v>
      </c>
      <c r="B320" s="3" t="s">
        <v>240</v>
      </c>
      <c r="C320" s="3">
        <v>4988.46</v>
      </c>
      <c r="D320" s="3">
        <v>80</v>
      </c>
      <c r="E320" s="3">
        <v>4</v>
      </c>
      <c r="F320" s="3">
        <v>0</v>
      </c>
      <c r="G320" s="3">
        <v>983.24</v>
      </c>
      <c r="H320" s="3">
        <v>310</v>
      </c>
      <c r="I320" s="3">
        <v>3695.22</v>
      </c>
    </row>
    <row r="321" spans="1:9">
      <c r="A321" s="3">
        <v>46059</v>
      </c>
      <c r="B321" s="3" t="s">
        <v>242</v>
      </c>
      <c r="C321" s="3">
        <v>5332.67</v>
      </c>
      <c r="D321" s="3">
        <v>80</v>
      </c>
      <c r="E321" s="3">
        <v>0</v>
      </c>
      <c r="F321" s="3">
        <v>500</v>
      </c>
      <c r="G321" s="3">
        <v>1189.73</v>
      </c>
      <c r="H321" s="3">
        <v>310</v>
      </c>
      <c r="I321" s="3">
        <v>3832.94</v>
      </c>
    </row>
    <row r="322" spans="1:9">
      <c r="A322" s="3">
        <v>46059</v>
      </c>
      <c r="B322" s="3" t="s">
        <v>244</v>
      </c>
      <c r="C322" s="3">
        <v>5333.58</v>
      </c>
      <c r="D322" s="3">
        <v>80</v>
      </c>
      <c r="E322" s="3">
        <v>2</v>
      </c>
      <c r="F322" s="3">
        <v>500</v>
      </c>
      <c r="G322" s="3">
        <v>1058.22</v>
      </c>
      <c r="H322" s="3">
        <v>0</v>
      </c>
      <c r="I322" s="3">
        <v>4275.3599999999997</v>
      </c>
    </row>
    <row r="323" spans="1:9">
      <c r="A323" s="3">
        <v>46059</v>
      </c>
      <c r="B323" s="3" t="s">
        <v>246</v>
      </c>
      <c r="C323" s="3">
        <v>4271.38</v>
      </c>
      <c r="D323" s="3">
        <v>80</v>
      </c>
      <c r="E323" s="3">
        <v>2</v>
      </c>
      <c r="F323" s="3">
        <v>250</v>
      </c>
      <c r="G323" s="3">
        <v>877.66</v>
      </c>
      <c r="H323" s="3">
        <v>310</v>
      </c>
      <c r="I323" s="3">
        <v>3083.72</v>
      </c>
    </row>
    <row r="324" spans="1:9">
      <c r="A324" s="3">
        <v>46059</v>
      </c>
      <c r="B324" s="3" t="s">
        <v>248</v>
      </c>
      <c r="C324" s="3">
        <v>2769.42</v>
      </c>
      <c r="D324" s="3">
        <v>80</v>
      </c>
      <c r="E324" s="3">
        <v>10</v>
      </c>
      <c r="F324" s="3">
        <v>250</v>
      </c>
      <c r="G324" s="3">
        <v>575.37</v>
      </c>
      <c r="H324" s="3">
        <v>310</v>
      </c>
      <c r="I324" s="3">
        <v>1884.05</v>
      </c>
    </row>
    <row r="325" spans="1:9">
      <c r="A325" s="3">
        <v>46059</v>
      </c>
      <c r="B325" s="3" t="s">
        <v>250</v>
      </c>
      <c r="C325" s="3">
        <v>5018.7</v>
      </c>
      <c r="D325" s="3">
        <v>80</v>
      </c>
      <c r="E325" s="3">
        <v>6</v>
      </c>
      <c r="F325" s="3">
        <v>250</v>
      </c>
      <c r="G325" s="3">
        <v>1113.8499999999999</v>
      </c>
      <c r="H325" s="3">
        <v>185</v>
      </c>
      <c r="I325" s="3">
        <v>3719.85</v>
      </c>
    </row>
    <row r="326" spans="1:9">
      <c r="A326" s="3">
        <v>46059</v>
      </c>
      <c r="B326" s="3" t="s">
        <v>252</v>
      </c>
      <c r="C326" s="3">
        <v>4359.62</v>
      </c>
      <c r="D326" s="3">
        <v>80</v>
      </c>
      <c r="E326" s="3">
        <v>10</v>
      </c>
      <c r="F326" s="3">
        <v>0</v>
      </c>
      <c r="G326" s="3">
        <v>930.18</v>
      </c>
      <c r="H326" s="3">
        <v>310</v>
      </c>
      <c r="I326" s="3">
        <v>3119.44</v>
      </c>
    </row>
    <row r="327" spans="1:9">
      <c r="A327" s="3">
        <v>46059</v>
      </c>
      <c r="B327" s="3" t="s">
        <v>254</v>
      </c>
      <c r="C327" s="3">
        <v>2391.5700000000002</v>
      </c>
      <c r="D327" s="3">
        <v>80</v>
      </c>
      <c r="E327" s="3">
        <v>8</v>
      </c>
      <c r="F327" s="3">
        <v>0</v>
      </c>
      <c r="G327" s="3">
        <v>478.11</v>
      </c>
      <c r="H327" s="3">
        <v>0</v>
      </c>
      <c r="I327" s="3">
        <v>1913.46</v>
      </c>
    </row>
    <row r="328" spans="1:9">
      <c r="A328" s="3">
        <v>46059</v>
      </c>
      <c r="B328" s="3" t="s">
        <v>256</v>
      </c>
      <c r="C328" s="3">
        <v>2103.42</v>
      </c>
      <c r="D328" s="3">
        <v>80</v>
      </c>
      <c r="E328" s="3">
        <v>0</v>
      </c>
      <c r="F328" s="3">
        <v>0</v>
      </c>
      <c r="G328" s="3">
        <v>555.57000000000005</v>
      </c>
      <c r="H328" s="3">
        <v>185</v>
      </c>
      <c r="I328" s="3">
        <v>1362.85</v>
      </c>
    </row>
    <row r="329" spans="1:9">
      <c r="A329" s="3">
        <v>46059</v>
      </c>
      <c r="B329" s="3" t="s">
        <v>259</v>
      </c>
      <c r="C329" s="3">
        <v>2901.84</v>
      </c>
      <c r="D329" s="3">
        <v>80</v>
      </c>
      <c r="E329" s="3">
        <v>8</v>
      </c>
      <c r="F329" s="3">
        <v>0</v>
      </c>
      <c r="G329" s="3">
        <v>608.48</v>
      </c>
      <c r="H329" s="3">
        <v>0</v>
      </c>
      <c r="I329" s="3">
        <v>2293.36</v>
      </c>
    </row>
    <row r="330" spans="1:9">
      <c r="A330" s="3">
        <v>46059</v>
      </c>
      <c r="B330" s="3" t="s">
        <v>261</v>
      </c>
      <c r="C330" s="3">
        <v>3451.34</v>
      </c>
      <c r="D330" s="3">
        <v>80</v>
      </c>
      <c r="E330" s="3">
        <v>8</v>
      </c>
      <c r="F330" s="3">
        <v>250</v>
      </c>
      <c r="G330" s="3">
        <v>776.33</v>
      </c>
      <c r="H330" s="3">
        <v>310</v>
      </c>
      <c r="I330" s="3">
        <v>2365.0100000000002</v>
      </c>
    </row>
    <row r="331" spans="1:9">
      <c r="A331" s="3">
        <v>46059</v>
      </c>
      <c r="B331" s="3" t="s">
        <v>263</v>
      </c>
      <c r="C331" s="3">
        <v>3307.89</v>
      </c>
      <c r="D331" s="3">
        <v>80</v>
      </c>
      <c r="E331" s="3">
        <v>6</v>
      </c>
      <c r="F331" s="3">
        <v>0</v>
      </c>
      <c r="G331" s="3">
        <v>740.89</v>
      </c>
      <c r="H331" s="3">
        <v>185</v>
      </c>
      <c r="I331" s="3">
        <v>2382</v>
      </c>
    </row>
    <row r="332" spans="1:9">
      <c r="A332" s="3">
        <v>46059</v>
      </c>
      <c r="B332" s="3" t="s">
        <v>265</v>
      </c>
      <c r="C332" s="3">
        <v>5646.94</v>
      </c>
      <c r="D332" s="3">
        <v>80</v>
      </c>
      <c r="E332" s="3">
        <v>10</v>
      </c>
      <c r="F332" s="3">
        <v>0</v>
      </c>
      <c r="G332" s="3">
        <v>1420.48</v>
      </c>
      <c r="H332" s="3">
        <v>185</v>
      </c>
      <c r="I332" s="3">
        <v>4041.46</v>
      </c>
    </row>
    <row r="333" spans="1:9">
      <c r="A333" s="3">
        <v>46059</v>
      </c>
      <c r="B333" s="3" t="s">
        <v>267</v>
      </c>
      <c r="C333" s="3">
        <v>2049.48</v>
      </c>
      <c r="D333" s="3">
        <v>80</v>
      </c>
      <c r="E333" s="3">
        <v>0</v>
      </c>
      <c r="F333" s="3">
        <v>0</v>
      </c>
      <c r="G333" s="3">
        <v>458.98</v>
      </c>
      <c r="H333" s="3">
        <v>310</v>
      </c>
      <c r="I333" s="3">
        <v>1280.5</v>
      </c>
    </row>
    <row r="334" spans="1:9">
      <c r="A334" s="3">
        <v>46059</v>
      </c>
      <c r="B334" s="3" t="s">
        <v>269</v>
      </c>
      <c r="C334" s="3">
        <v>4342.07</v>
      </c>
      <c r="D334" s="3">
        <v>80</v>
      </c>
      <c r="E334" s="3">
        <v>0</v>
      </c>
      <c r="F334" s="3">
        <v>250</v>
      </c>
      <c r="G334" s="3">
        <v>1112.45</v>
      </c>
      <c r="H334" s="3">
        <v>185</v>
      </c>
      <c r="I334" s="3">
        <v>3044.62</v>
      </c>
    </row>
    <row r="335" spans="1:9">
      <c r="A335" s="3">
        <v>46059</v>
      </c>
      <c r="B335" s="3" t="s">
        <v>271</v>
      </c>
      <c r="C335" s="3">
        <v>3572.54</v>
      </c>
      <c r="D335" s="3">
        <v>80</v>
      </c>
      <c r="E335" s="3">
        <v>0</v>
      </c>
      <c r="F335" s="3">
        <v>0</v>
      </c>
      <c r="G335" s="3">
        <v>913.96</v>
      </c>
      <c r="H335" s="3">
        <v>185</v>
      </c>
      <c r="I335" s="3">
        <v>2473.58</v>
      </c>
    </row>
    <row r="336" spans="1:9">
      <c r="A336" s="3">
        <v>46059</v>
      </c>
      <c r="B336" s="3" t="s">
        <v>273</v>
      </c>
      <c r="C336" s="3">
        <v>5197.8599999999997</v>
      </c>
      <c r="D336" s="3">
        <v>80</v>
      </c>
      <c r="E336" s="3">
        <v>2</v>
      </c>
      <c r="F336" s="3">
        <v>0</v>
      </c>
      <c r="G336" s="3">
        <v>939.89</v>
      </c>
      <c r="H336" s="3">
        <v>0</v>
      </c>
      <c r="I336" s="3">
        <v>4257.97</v>
      </c>
    </row>
    <row r="337" spans="1:9">
      <c r="A337" s="3">
        <v>46059</v>
      </c>
      <c r="B337" s="3" t="s">
        <v>276</v>
      </c>
      <c r="C337" s="3">
        <v>3586.18</v>
      </c>
      <c r="D337" s="3">
        <v>80</v>
      </c>
      <c r="E337" s="3">
        <v>10</v>
      </c>
      <c r="F337" s="3">
        <v>0</v>
      </c>
      <c r="G337" s="3">
        <v>851.34</v>
      </c>
      <c r="H337" s="3">
        <v>310</v>
      </c>
      <c r="I337" s="3">
        <v>2424.84</v>
      </c>
    </row>
    <row r="338" spans="1:9">
      <c r="A338" s="3">
        <v>46059</v>
      </c>
      <c r="B338" s="3" t="s">
        <v>278</v>
      </c>
      <c r="C338" s="3">
        <v>3970.57</v>
      </c>
      <c r="D338" s="3">
        <v>80</v>
      </c>
      <c r="E338" s="3">
        <v>10</v>
      </c>
      <c r="F338" s="3">
        <v>500</v>
      </c>
      <c r="G338" s="3">
        <v>717.07</v>
      </c>
      <c r="H338" s="3">
        <v>185</v>
      </c>
      <c r="I338" s="3">
        <v>3068.5</v>
      </c>
    </row>
    <row r="339" spans="1:9">
      <c r="A339" s="3">
        <v>46059</v>
      </c>
      <c r="B339" s="3" t="s">
        <v>280</v>
      </c>
      <c r="C339" s="3">
        <v>5018.18</v>
      </c>
      <c r="D339" s="3">
        <v>80</v>
      </c>
      <c r="E339" s="3">
        <v>8</v>
      </c>
      <c r="F339" s="3">
        <v>0</v>
      </c>
      <c r="G339" s="3">
        <v>1229.44</v>
      </c>
      <c r="H339" s="3">
        <v>310</v>
      </c>
      <c r="I339" s="3">
        <v>3478.74</v>
      </c>
    </row>
    <row r="340" spans="1:9">
      <c r="A340" s="3">
        <v>46059</v>
      </c>
      <c r="B340" s="3" t="s">
        <v>282</v>
      </c>
      <c r="C340" s="3">
        <v>5209.74</v>
      </c>
      <c r="D340" s="3">
        <v>80</v>
      </c>
      <c r="E340" s="3">
        <v>4</v>
      </c>
      <c r="F340" s="3">
        <v>0</v>
      </c>
      <c r="G340" s="3">
        <v>1264.96</v>
      </c>
      <c r="H340" s="3">
        <v>310</v>
      </c>
      <c r="I340" s="3">
        <v>3634.78</v>
      </c>
    </row>
    <row r="341" spans="1:9">
      <c r="A341" s="3">
        <v>46059</v>
      </c>
      <c r="B341" s="3" t="s">
        <v>284</v>
      </c>
      <c r="C341" s="3">
        <v>4270.68</v>
      </c>
      <c r="D341" s="3">
        <v>80</v>
      </c>
      <c r="E341" s="3">
        <v>8</v>
      </c>
      <c r="F341" s="3">
        <v>0</v>
      </c>
      <c r="G341" s="3">
        <v>805.74</v>
      </c>
      <c r="H341" s="3">
        <v>0</v>
      </c>
      <c r="I341" s="3">
        <v>3464.94</v>
      </c>
    </row>
    <row r="342" spans="1:9">
      <c r="A342" s="3">
        <v>46059</v>
      </c>
      <c r="B342" s="3" t="s">
        <v>286</v>
      </c>
      <c r="C342" s="3">
        <v>3523.06</v>
      </c>
      <c r="D342" s="3">
        <v>80</v>
      </c>
      <c r="E342" s="3">
        <v>0</v>
      </c>
      <c r="F342" s="3">
        <v>0</v>
      </c>
      <c r="G342" s="3">
        <v>801.08</v>
      </c>
      <c r="H342" s="3">
        <v>185</v>
      </c>
      <c r="I342" s="3">
        <v>2536.98</v>
      </c>
    </row>
    <row r="343" spans="1:9">
      <c r="A343" s="3">
        <v>46059</v>
      </c>
      <c r="B343" s="3" t="s">
        <v>288</v>
      </c>
      <c r="C343" s="3">
        <v>3737.37</v>
      </c>
      <c r="D343" s="3">
        <v>80</v>
      </c>
      <c r="E343" s="3">
        <v>6</v>
      </c>
      <c r="F343" s="3">
        <v>0</v>
      </c>
      <c r="G343" s="3">
        <v>699.31</v>
      </c>
      <c r="H343" s="3">
        <v>0</v>
      </c>
      <c r="I343" s="3">
        <v>3038.06</v>
      </c>
    </row>
    <row r="344" spans="1:9">
      <c r="A344" s="3">
        <v>46059</v>
      </c>
      <c r="B344" s="3" t="s">
        <v>290</v>
      </c>
      <c r="C344" s="3">
        <v>3585.91</v>
      </c>
      <c r="D344" s="3">
        <v>80</v>
      </c>
      <c r="E344" s="3">
        <v>8</v>
      </c>
      <c r="F344" s="3">
        <v>0</v>
      </c>
      <c r="G344" s="3">
        <v>965.04</v>
      </c>
      <c r="H344" s="3">
        <v>310</v>
      </c>
      <c r="I344" s="3">
        <v>2310.87</v>
      </c>
    </row>
    <row r="345" spans="1:9">
      <c r="A345" s="3">
        <v>46059</v>
      </c>
      <c r="B345" s="3" t="s">
        <v>292</v>
      </c>
      <c r="C345" s="3">
        <v>4877.46</v>
      </c>
      <c r="D345" s="3">
        <v>80</v>
      </c>
      <c r="E345" s="3">
        <v>2</v>
      </c>
      <c r="F345" s="3">
        <v>0</v>
      </c>
      <c r="G345" s="3">
        <v>1250.1300000000001</v>
      </c>
      <c r="H345" s="3">
        <v>310</v>
      </c>
      <c r="I345" s="3">
        <v>3317.33</v>
      </c>
    </row>
    <row r="346" spans="1:9">
      <c r="A346" s="3">
        <v>46059</v>
      </c>
      <c r="B346" s="3" t="s">
        <v>294</v>
      </c>
      <c r="C346" s="3">
        <v>3379.88</v>
      </c>
      <c r="D346" s="3">
        <v>80</v>
      </c>
      <c r="E346" s="3">
        <v>0</v>
      </c>
      <c r="F346" s="3">
        <v>0</v>
      </c>
      <c r="G346" s="3">
        <v>723.11</v>
      </c>
      <c r="H346" s="3">
        <v>310</v>
      </c>
      <c r="I346" s="3">
        <v>2346.77</v>
      </c>
    </row>
    <row r="347" spans="1:9">
      <c r="A347" s="3">
        <v>46059</v>
      </c>
      <c r="B347" s="3" t="s">
        <v>296</v>
      </c>
      <c r="C347" s="3">
        <v>3021.25</v>
      </c>
      <c r="D347" s="3">
        <v>80</v>
      </c>
      <c r="E347" s="3">
        <v>10</v>
      </c>
      <c r="F347" s="3">
        <v>0</v>
      </c>
      <c r="G347" s="3">
        <v>734.94</v>
      </c>
      <c r="H347" s="3">
        <v>185</v>
      </c>
      <c r="I347" s="3">
        <v>2101.31</v>
      </c>
    </row>
    <row r="348" spans="1:9">
      <c r="A348" s="3">
        <v>46059</v>
      </c>
      <c r="B348" s="3" t="s">
        <v>298</v>
      </c>
      <c r="C348" s="3">
        <v>3478.81</v>
      </c>
      <c r="D348" s="3">
        <v>80</v>
      </c>
      <c r="E348" s="3">
        <v>0</v>
      </c>
      <c r="F348" s="3">
        <v>0</v>
      </c>
      <c r="G348" s="3">
        <v>828.1</v>
      </c>
      <c r="H348" s="3">
        <v>185</v>
      </c>
      <c r="I348" s="3">
        <v>2465.71</v>
      </c>
    </row>
    <row r="349" spans="1:9">
      <c r="A349" s="3">
        <v>46059</v>
      </c>
      <c r="B349" s="3" t="s">
        <v>300</v>
      </c>
      <c r="C349" s="3">
        <v>5322.9</v>
      </c>
      <c r="D349" s="3">
        <v>80</v>
      </c>
      <c r="E349" s="3">
        <v>6</v>
      </c>
      <c r="F349" s="3">
        <v>250</v>
      </c>
      <c r="G349" s="3">
        <v>1424.65</v>
      </c>
      <c r="H349" s="3">
        <v>310</v>
      </c>
      <c r="I349" s="3">
        <v>3588.25</v>
      </c>
    </row>
    <row r="350" spans="1:9">
      <c r="A350" s="3">
        <v>46059</v>
      </c>
      <c r="B350" s="3" t="s">
        <v>302</v>
      </c>
      <c r="C350" s="3">
        <v>4985.57</v>
      </c>
      <c r="D350" s="3">
        <v>80</v>
      </c>
      <c r="E350" s="3">
        <v>0</v>
      </c>
      <c r="F350" s="3">
        <v>0</v>
      </c>
      <c r="G350" s="3">
        <v>1286.93</v>
      </c>
      <c r="H350" s="3">
        <v>0</v>
      </c>
      <c r="I350" s="3">
        <v>3698.64</v>
      </c>
    </row>
    <row r="351" spans="1:9">
      <c r="A351" s="3">
        <v>46059</v>
      </c>
      <c r="B351" s="3" t="s">
        <v>304</v>
      </c>
      <c r="C351" s="3">
        <v>3722.48</v>
      </c>
      <c r="D351" s="3">
        <v>80</v>
      </c>
      <c r="E351" s="3">
        <v>10</v>
      </c>
      <c r="F351" s="3">
        <v>0</v>
      </c>
      <c r="G351" s="3">
        <v>694.95</v>
      </c>
      <c r="H351" s="3">
        <v>185</v>
      </c>
      <c r="I351" s="3">
        <v>2842.53</v>
      </c>
    </row>
    <row r="352" spans="1:9">
      <c r="A352" s="3">
        <v>46059</v>
      </c>
      <c r="B352" s="3" t="s">
        <v>306</v>
      </c>
      <c r="C352" s="3">
        <v>3933</v>
      </c>
      <c r="D352" s="3">
        <v>80</v>
      </c>
      <c r="E352" s="3">
        <v>4</v>
      </c>
      <c r="F352" s="3">
        <v>250</v>
      </c>
      <c r="G352" s="3">
        <v>719.59</v>
      </c>
      <c r="H352" s="3">
        <v>185</v>
      </c>
      <c r="I352" s="3">
        <v>3028.41</v>
      </c>
    </row>
    <row r="353" spans="1:9">
      <c r="A353" s="3">
        <v>46059</v>
      </c>
      <c r="B353" s="3" t="s">
        <v>308</v>
      </c>
      <c r="C353" s="3">
        <v>3488.91</v>
      </c>
      <c r="D353" s="3">
        <v>80</v>
      </c>
      <c r="E353" s="3">
        <v>6</v>
      </c>
      <c r="F353" s="3">
        <v>0</v>
      </c>
      <c r="G353" s="3">
        <v>812.33</v>
      </c>
      <c r="H353" s="3">
        <v>310</v>
      </c>
      <c r="I353" s="3">
        <v>2366.58</v>
      </c>
    </row>
    <row r="354" spans="1:9">
      <c r="A354" s="3">
        <v>46059</v>
      </c>
      <c r="B354" s="3" t="s">
        <v>310</v>
      </c>
      <c r="C354" s="3">
        <v>3528.4</v>
      </c>
      <c r="D354" s="3">
        <v>80</v>
      </c>
      <c r="E354" s="3">
        <v>8</v>
      </c>
      <c r="F354" s="3">
        <v>0</v>
      </c>
      <c r="G354" s="3">
        <v>814.2</v>
      </c>
      <c r="H354" s="3">
        <v>0</v>
      </c>
      <c r="I354" s="3">
        <v>2714.2</v>
      </c>
    </row>
    <row r="355" spans="1:9">
      <c r="A355" s="3">
        <v>46059</v>
      </c>
      <c r="B355" s="3" t="s">
        <v>312</v>
      </c>
      <c r="C355" s="3">
        <v>4544.83</v>
      </c>
      <c r="D355" s="3">
        <v>80</v>
      </c>
      <c r="E355" s="3">
        <v>8</v>
      </c>
      <c r="F355" s="3">
        <v>500</v>
      </c>
      <c r="G355" s="3">
        <v>953.76</v>
      </c>
      <c r="H355" s="3">
        <v>0</v>
      </c>
      <c r="I355" s="3">
        <v>3591.07</v>
      </c>
    </row>
    <row r="356" spans="1:9">
      <c r="A356" s="3">
        <v>46059</v>
      </c>
      <c r="B356" s="3" t="s">
        <v>314</v>
      </c>
      <c r="C356" s="3">
        <v>3818.9</v>
      </c>
      <c r="D356" s="3">
        <v>80</v>
      </c>
      <c r="E356" s="3">
        <v>0</v>
      </c>
      <c r="F356" s="3">
        <v>500</v>
      </c>
      <c r="G356" s="3">
        <v>859.53</v>
      </c>
      <c r="H356" s="3">
        <v>0</v>
      </c>
      <c r="I356" s="3">
        <v>2959.37</v>
      </c>
    </row>
    <row r="357" spans="1:9">
      <c r="A357" s="3">
        <v>46059</v>
      </c>
      <c r="B357" s="3" t="s">
        <v>317</v>
      </c>
      <c r="C357" s="3">
        <v>3959.19</v>
      </c>
      <c r="D357" s="3">
        <v>80</v>
      </c>
      <c r="E357" s="3">
        <v>6</v>
      </c>
      <c r="F357" s="3">
        <v>0</v>
      </c>
      <c r="G357" s="3">
        <v>795.37</v>
      </c>
      <c r="H357" s="3">
        <v>0</v>
      </c>
      <c r="I357" s="3">
        <v>3163.82</v>
      </c>
    </row>
    <row r="358" spans="1:9">
      <c r="A358" s="3">
        <v>46059</v>
      </c>
      <c r="B358" s="3" t="s">
        <v>319</v>
      </c>
      <c r="C358" s="3">
        <v>3312.95</v>
      </c>
      <c r="D358" s="3">
        <v>80</v>
      </c>
      <c r="E358" s="3">
        <v>0</v>
      </c>
      <c r="F358" s="3">
        <v>0</v>
      </c>
      <c r="G358" s="3">
        <v>779.36</v>
      </c>
      <c r="H358" s="3">
        <v>0</v>
      </c>
      <c r="I358" s="3">
        <v>2533.59</v>
      </c>
    </row>
    <row r="359" spans="1:9">
      <c r="A359" s="3">
        <v>46059</v>
      </c>
      <c r="B359" s="3" t="s">
        <v>321</v>
      </c>
      <c r="C359" s="3">
        <v>3824.59</v>
      </c>
      <c r="D359" s="3">
        <v>80</v>
      </c>
      <c r="E359" s="3">
        <v>8</v>
      </c>
      <c r="F359" s="3">
        <v>0</v>
      </c>
      <c r="G359" s="3">
        <v>782.51</v>
      </c>
      <c r="H359" s="3">
        <v>185</v>
      </c>
      <c r="I359" s="3">
        <v>2857.08</v>
      </c>
    </row>
    <row r="360" spans="1:9">
      <c r="A360" s="3">
        <v>46059</v>
      </c>
      <c r="B360" s="3" t="s">
        <v>323</v>
      </c>
      <c r="C360" s="3">
        <v>4736.41</v>
      </c>
      <c r="D360" s="3">
        <v>80</v>
      </c>
      <c r="E360" s="3">
        <v>10</v>
      </c>
      <c r="F360" s="3">
        <v>0</v>
      </c>
      <c r="G360" s="3">
        <v>1088.3</v>
      </c>
      <c r="H360" s="3">
        <v>310</v>
      </c>
      <c r="I360" s="3">
        <v>3338.11</v>
      </c>
    </row>
    <row r="361" spans="1:9">
      <c r="A361" s="3">
        <v>46059</v>
      </c>
      <c r="B361" s="3" t="s">
        <v>324</v>
      </c>
      <c r="C361" s="3">
        <v>3876.63</v>
      </c>
      <c r="D361" s="3">
        <v>80</v>
      </c>
      <c r="E361" s="3">
        <v>8</v>
      </c>
      <c r="F361" s="3">
        <v>0</v>
      </c>
      <c r="G361" s="3">
        <v>902.2</v>
      </c>
      <c r="H361" s="3">
        <v>0</v>
      </c>
      <c r="I361" s="3">
        <v>2974.43</v>
      </c>
    </row>
    <row r="362" spans="1:9">
      <c r="A362" s="3">
        <v>46059</v>
      </c>
      <c r="B362" s="3" t="s">
        <v>326</v>
      </c>
      <c r="C362" s="3">
        <v>3728.94</v>
      </c>
      <c r="D362" s="3">
        <v>80</v>
      </c>
      <c r="E362" s="3">
        <v>8</v>
      </c>
      <c r="F362" s="3">
        <v>0</v>
      </c>
      <c r="G362" s="3">
        <v>770.34</v>
      </c>
      <c r="H362" s="3">
        <v>310</v>
      </c>
      <c r="I362" s="3">
        <v>2648.6</v>
      </c>
    </row>
    <row r="363" spans="1:9">
      <c r="A363" s="3">
        <v>46059</v>
      </c>
      <c r="B363" s="3" t="s">
        <v>328</v>
      </c>
      <c r="C363" s="3">
        <v>4628.68</v>
      </c>
      <c r="D363" s="3">
        <v>80</v>
      </c>
      <c r="E363" s="3">
        <v>2</v>
      </c>
      <c r="F363" s="3">
        <v>500</v>
      </c>
      <c r="G363" s="3">
        <v>944.79</v>
      </c>
      <c r="H363" s="3">
        <v>185</v>
      </c>
      <c r="I363" s="3">
        <v>3498.89</v>
      </c>
    </row>
    <row r="364" spans="1:9">
      <c r="A364" s="3">
        <v>46059</v>
      </c>
      <c r="B364" s="3" t="s">
        <v>330</v>
      </c>
      <c r="C364" s="3">
        <v>4318.08</v>
      </c>
      <c r="D364" s="3">
        <v>80</v>
      </c>
      <c r="E364" s="3">
        <v>8</v>
      </c>
      <c r="F364" s="3">
        <v>500</v>
      </c>
      <c r="G364" s="3">
        <v>837.21</v>
      </c>
      <c r="H364" s="3">
        <v>0</v>
      </c>
      <c r="I364" s="3">
        <v>3480.87</v>
      </c>
    </row>
    <row r="365" spans="1:9">
      <c r="A365" s="3">
        <v>46059</v>
      </c>
      <c r="B365" s="3" t="s">
        <v>331</v>
      </c>
      <c r="C365" s="3">
        <v>4018.04</v>
      </c>
      <c r="D365" s="3">
        <v>80</v>
      </c>
      <c r="E365" s="3">
        <v>8</v>
      </c>
      <c r="F365" s="3">
        <v>0</v>
      </c>
      <c r="G365" s="3">
        <v>756.34</v>
      </c>
      <c r="H365" s="3">
        <v>0</v>
      </c>
      <c r="I365" s="3">
        <v>3261.7</v>
      </c>
    </row>
    <row r="366" spans="1:9">
      <c r="A366" s="3">
        <v>46059</v>
      </c>
      <c r="B366" s="3" t="s">
        <v>333</v>
      </c>
      <c r="C366" s="3">
        <v>2928.55</v>
      </c>
      <c r="D366" s="3">
        <v>80</v>
      </c>
      <c r="E366" s="3">
        <v>4</v>
      </c>
      <c r="F366" s="3">
        <v>0</v>
      </c>
      <c r="G366" s="3">
        <v>598.24</v>
      </c>
      <c r="H366" s="3">
        <v>310</v>
      </c>
      <c r="I366" s="3">
        <v>2020.31</v>
      </c>
    </row>
    <row r="367" spans="1:9">
      <c r="A367" s="3">
        <v>46059</v>
      </c>
      <c r="B367" s="3" t="s">
        <v>335</v>
      </c>
      <c r="C367" s="3">
        <v>4215.1400000000003</v>
      </c>
      <c r="D367" s="3">
        <v>80</v>
      </c>
      <c r="E367" s="3">
        <v>0</v>
      </c>
      <c r="F367" s="3">
        <v>0</v>
      </c>
      <c r="G367" s="3">
        <v>929</v>
      </c>
      <c r="H367" s="3">
        <v>0</v>
      </c>
      <c r="I367" s="3">
        <v>3286.14</v>
      </c>
    </row>
    <row r="368" spans="1:9">
      <c r="A368" s="3">
        <v>46059</v>
      </c>
      <c r="B368" s="3" t="s">
        <v>337</v>
      </c>
      <c r="C368" s="3">
        <v>5107.09</v>
      </c>
      <c r="D368" s="3">
        <v>80</v>
      </c>
      <c r="E368" s="3">
        <v>8</v>
      </c>
      <c r="F368" s="3">
        <v>0</v>
      </c>
      <c r="G368" s="3">
        <v>1081.95</v>
      </c>
      <c r="H368" s="3">
        <v>310</v>
      </c>
      <c r="I368" s="3">
        <v>3715.14</v>
      </c>
    </row>
    <row r="369" spans="1:9">
      <c r="A369" s="3">
        <v>46059</v>
      </c>
      <c r="B369" s="3" t="s">
        <v>339</v>
      </c>
      <c r="C369" s="3">
        <v>4447.21</v>
      </c>
      <c r="D369" s="3">
        <v>80</v>
      </c>
      <c r="E369" s="3">
        <v>0</v>
      </c>
      <c r="F369" s="3">
        <v>250</v>
      </c>
      <c r="G369" s="3">
        <v>930.35</v>
      </c>
      <c r="H369" s="3">
        <v>0</v>
      </c>
      <c r="I369" s="3">
        <v>3516.86</v>
      </c>
    </row>
    <row r="370" spans="1:9">
      <c r="A370" s="3">
        <v>46059</v>
      </c>
      <c r="B370" s="3" t="s">
        <v>341</v>
      </c>
      <c r="C370" s="3">
        <v>5518.48</v>
      </c>
      <c r="D370" s="3">
        <v>80</v>
      </c>
      <c r="E370" s="3">
        <v>8</v>
      </c>
      <c r="F370" s="3">
        <v>0</v>
      </c>
      <c r="G370" s="3">
        <v>1185.93</v>
      </c>
      <c r="H370" s="3">
        <v>310</v>
      </c>
      <c r="I370" s="3">
        <v>4022.55</v>
      </c>
    </row>
    <row r="371" spans="1:9">
      <c r="A371" s="3">
        <v>46059</v>
      </c>
      <c r="B371" s="3" t="s">
        <v>343</v>
      </c>
      <c r="C371" s="3">
        <v>3250.83</v>
      </c>
      <c r="D371" s="3">
        <v>80</v>
      </c>
      <c r="E371" s="3">
        <v>0</v>
      </c>
      <c r="F371" s="3">
        <v>500</v>
      </c>
      <c r="G371" s="3">
        <v>849.99</v>
      </c>
      <c r="H371" s="3">
        <v>310</v>
      </c>
      <c r="I371" s="3">
        <v>2090.84</v>
      </c>
    </row>
    <row r="372" spans="1:9">
      <c r="A372" s="3">
        <v>46059</v>
      </c>
      <c r="B372" s="3" t="s">
        <v>345</v>
      </c>
      <c r="C372" s="3">
        <v>4999.6099999999997</v>
      </c>
      <c r="D372" s="3">
        <v>80</v>
      </c>
      <c r="E372" s="3">
        <v>2</v>
      </c>
      <c r="F372" s="3">
        <v>250</v>
      </c>
      <c r="G372" s="3">
        <v>1208.3</v>
      </c>
      <c r="H372" s="3">
        <v>310</v>
      </c>
      <c r="I372" s="3">
        <v>3481.31</v>
      </c>
    </row>
    <row r="373" spans="1:9">
      <c r="A373" s="3">
        <v>46059</v>
      </c>
      <c r="B373" s="3" t="s">
        <v>348</v>
      </c>
      <c r="C373" s="3">
        <v>4296.1400000000003</v>
      </c>
      <c r="D373" s="3">
        <v>80</v>
      </c>
      <c r="E373" s="3">
        <v>0</v>
      </c>
      <c r="F373" s="3">
        <v>0</v>
      </c>
      <c r="G373" s="3">
        <v>877.09</v>
      </c>
      <c r="H373" s="3">
        <v>310</v>
      </c>
      <c r="I373" s="3">
        <v>3109.05</v>
      </c>
    </row>
    <row r="374" spans="1:9">
      <c r="A374" s="3">
        <v>46059</v>
      </c>
      <c r="B374" s="3" t="s">
        <v>350</v>
      </c>
      <c r="C374" s="3">
        <v>4598.74</v>
      </c>
      <c r="D374" s="3">
        <v>80</v>
      </c>
      <c r="E374" s="3">
        <v>0</v>
      </c>
      <c r="F374" s="3">
        <v>0</v>
      </c>
      <c r="G374" s="3">
        <v>941.99</v>
      </c>
      <c r="H374" s="3">
        <v>310</v>
      </c>
      <c r="I374" s="3">
        <v>3346.75</v>
      </c>
    </row>
    <row r="375" spans="1:9">
      <c r="A375" s="3">
        <v>46059</v>
      </c>
      <c r="B375" s="3" t="s">
        <v>352</v>
      </c>
      <c r="C375" s="3">
        <v>3404.5</v>
      </c>
      <c r="D375" s="3">
        <v>80</v>
      </c>
      <c r="E375" s="3">
        <v>4</v>
      </c>
      <c r="F375" s="3">
        <v>0</v>
      </c>
      <c r="G375" s="3">
        <v>723.46</v>
      </c>
      <c r="H375" s="3">
        <v>0</v>
      </c>
      <c r="I375" s="3">
        <v>2681.04</v>
      </c>
    </row>
    <row r="376" spans="1:9">
      <c r="A376" s="3">
        <v>46059</v>
      </c>
      <c r="B376" s="3" t="s">
        <v>354</v>
      </c>
      <c r="C376" s="3">
        <v>4815.8599999999997</v>
      </c>
      <c r="D376" s="3">
        <v>80</v>
      </c>
      <c r="E376" s="3">
        <v>2</v>
      </c>
      <c r="F376" s="3">
        <v>500</v>
      </c>
      <c r="G376" s="3">
        <v>1124.23</v>
      </c>
      <c r="H376" s="3">
        <v>185</v>
      </c>
      <c r="I376" s="3">
        <v>3506.63</v>
      </c>
    </row>
    <row r="377" spans="1:9">
      <c r="A377" s="3">
        <v>46073</v>
      </c>
      <c r="B377" s="3" t="s">
        <v>50</v>
      </c>
      <c r="C377" s="3">
        <v>3172.65</v>
      </c>
      <c r="D377" s="3">
        <v>80</v>
      </c>
      <c r="E377" s="3">
        <v>2</v>
      </c>
      <c r="F377" s="3">
        <v>0</v>
      </c>
      <c r="G377" s="3">
        <v>658.07</v>
      </c>
      <c r="H377" s="3">
        <v>185</v>
      </c>
      <c r="I377" s="3">
        <v>2329.58</v>
      </c>
    </row>
    <row r="378" spans="1:9">
      <c r="A378" s="3">
        <v>46073</v>
      </c>
      <c r="B378" s="3" t="s">
        <v>59</v>
      </c>
      <c r="C378" s="3">
        <v>2449.7399999999998</v>
      </c>
      <c r="D378" s="3">
        <v>80</v>
      </c>
      <c r="E378" s="3">
        <v>8</v>
      </c>
      <c r="F378" s="3">
        <v>0</v>
      </c>
      <c r="G378" s="3">
        <v>524.71</v>
      </c>
      <c r="H378" s="3">
        <v>185</v>
      </c>
      <c r="I378" s="3">
        <v>1740.03</v>
      </c>
    </row>
    <row r="379" spans="1:9">
      <c r="A379" s="3">
        <v>46073</v>
      </c>
      <c r="B379" s="3" t="s">
        <v>63</v>
      </c>
      <c r="C379" s="3">
        <v>4484.5200000000004</v>
      </c>
      <c r="D379" s="3">
        <v>80</v>
      </c>
      <c r="E379" s="3">
        <v>6</v>
      </c>
      <c r="F379" s="3">
        <v>0</v>
      </c>
      <c r="G379" s="3">
        <v>1136.3499999999999</v>
      </c>
      <c r="H379" s="3">
        <v>185</v>
      </c>
      <c r="I379" s="3">
        <v>3163.17</v>
      </c>
    </row>
    <row r="380" spans="1:9">
      <c r="A380" s="3">
        <v>46073</v>
      </c>
      <c r="B380" s="3" t="s">
        <v>70</v>
      </c>
      <c r="C380" s="3">
        <v>3337.18</v>
      </c>
      <c r="D380" s="3">
        <v>80</v>
      </c>
      <c r="E380" s="3">
        <v>0</v>
      </c>
      <c r="F380" s="3">
        <v>0</v>
      </c>
      <c r="G380" s="3">
        <v>885.2</v>
      </c>
      <c r="H380" s="3">
        <v>185</v>
      </c>
      <c r="I380" s="3">
        <v>2266.98</v>
      </c>
    </row>
    <row r="381" spans="1:9">
      <c r="A381" s="3">
        <v>46073</v>
      </c>
      <c r="B381" s="3" t="s">
        <v>73</v>
      </c>
      <c r="C381" s="3">
        <v>3861.37</v>
      </c>
      <c r="D381" s="3">
        <v>80</v>
      </c>
      <c r="E381" s="3">
        <v>2</v>
      </c>
      <c r="F381" s="3">
        <v>0</v>
      </c>
      <c r="G381" s="3">
        <v>1030.26</v>
      </c>
      <c r="H381" s="3">
        <v>310</v>
      </c>
      <c r="I381" s="3">
        <v>2521.11</v>
      </c>
    </row>
    <row r="382" spans="1:9">
      <c r="A382" s="3">
        <v>46073</v>
      </c>
      <c r="B382" s="3" t="s">
        <v>75</v>
      </c>
      <c r="C382" s="3">
        <v>2878.55</v>
      </c>
      <c r="D382" s="3">
        <v>80</v>
      </c>
      <c r="E382" s="3">
        <v>6</v>
      </c>
      <c r="F382" s="3">
        <v>0</v>
      </c>
      <c r="G382" s="3">
        <v>682.1</v>
      </c>
      <c r="H382" s="3">
        <v>310</v>
      </c>
      <c r="I382" s="3">
        <v>1886.45</v>
      </c>
    </row>
    <row r="383" spans="1:9">
      <c r="A383" s="3">
        <v>46073</v>
      </c>
      <c r="B383" s="3" t="s">
        <v>78</v>
      </c>
      <c r="C383" s="3">
        <v>2268.31</v>
      </c>
      <c r="D383" s="3">
        <v>80</v>
      </c>
      <c r="E383" s="3">
        <v>2</v>
      </c>
      <c r="F383" s="3">
        <v>0</v>
      </c>
      <c r="G383" s="3">
        <v>574.98</v>
      </c>
      <c r="H383" s="3">
        <v>0</v>
      </c>
      <c r="I383" s="3">
        <v>1693.33</v>
      </c>
    </row>
    <row r="384" spans="1:9">
      <c r="A384" s="3">
        <v>46073</v>
      </c>
      <c r="B384" s="3" t="s">
        <v>82</v>
      </c>
      <c r="C384" s="3">
        <v>3828.8</v>
      </c>
      <c r="D384" s="3">
        <v>80</v>
      </c>
      <c r="E384" s="3">
        <v>8</v>
      </c>
      <c r="F384" s="3">
        <v>0</v>
      </c>
      <c r="G384" s="3">
        <v>883.48</v>
      </c>
      <c r="H384" s="3">
        <v>310</v>
      </c>
      <c r="I384" s="3">
        <v>2635.32</v>
      </c>
    </row>
    <row r="385" spans="1:9">
      <c r="A385" s="3">
        <v>46073</v>
      </c>
      <c r="B385" s="3" t="s">
        <v>86</v>
      </c>
      <c r="C385" s="3">
        <v>5474.92</v>
      </c>
      <c r="D385" s="3">
        <v>80</v>
      </c>
      <c r="E385" s="3">
        <v>0</v>
      </c>
      <c r="F385" s="3">
        <v>500</v>
      </c>
      <c r="G385" s="3">
        <v>998.75</v>
      </c>
      <c r="H385" s="3">
        <v>0</v>
      </c>
      <c r="I385" s="3">
        <v>4476.17</v>
      </c>
    </row>
    <row r="386" spans="1:9">
      <c r="A386" s="3">
        <v>46073</v>
      </c>
      <c r="B386" s="3" t="s">
        <v>89</v>
      </c>
      <c r="C386" s="3">
        <v>4413.42</v>
      </c>
      <c r="D386" s="3">
        <v>80</v>
      </c>
      <c r="E386" s="3">
        <v>10</v>
      </c>
      <c r="F386" s="3">
        <v>500</v>
      </c>
      <c r="G386" s="3">
        <v>1111.26</v>
      </c>
      <c r="H386" s="3">
        <v>0</v>
      </c>
      <c r="I386" s="3">
        <v>3302.16</v>
      </c>
    </row>
    <row r="387" spans="1:9">
      <c r="A387" s="3">
        <v>46073</v>
      </c>
      <c r="B387" s="3" t="s">
        <v>94</v>
      </c>
      <c r="C387" s="3">
        <v>3547.11</v>
      </c>
      <c r="D387" s="3">
        <v>80</v>
      </c>
      <c r="E387" s="3">
        <v>0</v>
      </c>
      <c r="F387" s="3">
        <v>0</v>
      </c>
      <c r="G387" s="3">
        <v>682.91</v>
      </c>
      <c r="H387" s="3">
        <v>310</v>
      </c>
      <c r="I387" s="3">
        <v>2554.1999999999998</v>
      </c>
    </row>
    <row r="388" spans="1:9">
      <c r="A388" s="3">
        <v>46073</v>
      </c>
      <c r="B388" s="3" t="s">
        <v>96</v>
      </c>
      <c r="C388" s="3">
        <v>4535.68</v>
      </c>
      <c r="D388" s="3">
        <v>80</v>
      </c>
      <c r="E388" s="3">
        <v>4</v>
      </c>
      <c r="F388" s="3">
        <v>0</v>
      </c>
      <c r="G388" s="3">
        <v>879.35</v>
      </c>
      <c r="H388" s="3">
        <v>185</v>
      </c>
      <c r="I388" s="3">
        <v>3471.33</v>
      </c>
    </row>
    <row r="389" spans="1:9">
      <c r="A389" s="3">
        <v>46073</v>
      </c>
      <c r="B389" s="3" t="s">
        <v>98</v>
      </c>
      <c r="C389" s="3">
        <v>5551.81</v>
      </c>
      <c r="D389" s="3">
        <v>80</v>
      </c>
      <c r="E389" s="3">
        <v>8</v>
      </c>
      <c r="F389" s="3">
        <v>0</v>
      </c>
      <c r="G389" s="3">
        <v>1494.34</v>
      </c>
      <c r="H389" s="3">
        <v>310</v>
      </c>
      <c r="I389" s="3">
        <v>3747.47</v>
      </c>
    </row>
    <row r="390" spans="1:9">
      <c r="A390" s="3">
        <v>46073</v>
      </c>
      <c r="B390" s="3" t="s">
        <v>106</v>
      </c>
      <c r="C390" s="3">
        <v>3487.76</v>
      </c>
      <c r="D390" s="3">
        <v>80</v>
      </c>
      <c r="E390" s="3">
        <v>10</v>
      </c>
      <c r="F390" s="3">
        <v>250</v>
      </c>
      <c r="G390" s="3">
        <v>786.82</v>
      </c>
      <c r="H390" s="3">
        <v>0</v>
      </c>
      <c r="I390" s="3">
        <v>2700.94</v>
      </c>
    </row>
    <row r="391" spans="1:9">
      <c r="A391" s="3">
        <v>46073</v>
      </c>
      <c r="B391" s="3" t="s">
        <v>111</v>
      </c>
      <c r="C391" s="3">
        <v>5490.28</v>
      </c>
      <c r="D391" s="3">
        <v>80</v>
      </c>
      <c r="E391" s="3">
        <v>8</v>
      </c>
      <c r="F391" s="3">
        <v>250</v>
      </c>
      <c r="G391" s="3">
        <v>1466.78</v>
      </c>
      <c r="H391" s="3">
        <v>310</v>
      </c>
      <c r="I391" s="3">
        <v>3713.5</v>
      </c>
    </row>
    <row r="392" spans="1:9">
      <c r="A392" s="3">
        <v>46073</v>
      </c>
      <c r="B392" s="3" t="s">
        <v>115</v>
      </c>
      <c r="C392" s="3">
        <v>3667.3</v>
      </c>
      <c r="D392" s="3">
        <v>80</v>
      </c>
      <c r="E392" s="3">
        <v>0</v>
      </c>
      <c r="F392" s="3">
        <v>0</v>
      </c>
      <c r="G392" s="3">
        <v>877.16</v>
      </c>
      <c r="H392" s="3">
        <v>185</v>
      </c>
      <c r="I392" s="3">
        <v>2605.14</v>
      </c>
    </row>
    <row r="393" spans="1:9">
      <c r="A393" s="3">
        <v>46073</v>
      </c>
      <c r="B393" s="3" t="s">
        <v>118</v>
      </c>
      <c r="C393" s="3">
        <v>3173.72</v>
      </c>
      <c r="D393" s="3">
        <v>80</v>
      </c>
      <c r="E393" s="3">
        <v>6</v>
      </c>
      <c r="F393" s="3">
        <v>0</v>
      </c>
      <c r="G393" s="3">
        <v>583.91999999999996</v>
      </c>
      <c r="H393" s="3">
        <v>0</v>
      </c>
      <c r="I393" s="3">
        <v>2589.8000000000002</v>
      </c>
    </row>
    <row r="394" spans="1:9">
      <c r="A394" s="3">
        <v>46073</v>
      </c>
      <c r="B394" s="3" t="s">
        <v>120</v>
      </c>
      <c r="C394" s="3">
        <v>5375.18</v>
      </c>
      <c r="D394" s="3">
        <v>80</v>
      </c>
      <c r="E394" s="3">
        <v>8</v>
      </c>
      <c r="F394" s="3">
        <v>0</v>
      </c>
      <c r="G394" s="3">
        <v>1175.77</v>
      </c>
      <c r="H394" s="3">
        <v>0</v>
      </c>
      <c r="I394" s="3">
        <v>4199.41</v>
      </c>
    </row>
    <row r="395" spans="1:9">
      <c r="A395" s="3">
        <v>46073</v>
      </c>
      <c r="B395" s="3" t="s">
        <v>123</v>
      </c>
      <c r="C395" s="3">
        <v>3487.94</v>
      </c>
      <c r="D395" s="3">
        <v>80</v>
      </c>
      <c r="E395" s="3">
        <v>0</v>
      </c>
      <c r="F395" s="3">
        <v>0</v>
      </c>
      <c r="G395" s="3">
        <v>788.14</v>
      </c>
      <c r="H395" s="3">
        <v>185</v>
      </c>
      <c r="I395" s="3">
        <v>2514.8000000000002</v>
      </c>
    </row>
    <row r="396" spans="1:9">
      <c r="A396" s="3">
        <v>46073</v>
      </c>
      <c r="B396" s="3" t="s">
        <v>125</v>
      </c>
      <c r="C396" s="3">
        <v>4782.16</v>
      </c>
      <c r="D396" s="3">
        <v>80</v>
      </c>
      <c r="E396" s="3">
        <v>2</v>
      </c>
      <c r="F396" s="3">
        <v>0</v>
      </c>
      <c r="G396" s="3">
        <v>1060.0899999999999</v>
      </c>
      <c r="H396" s="3">
        <v>185</v>
      </c>
      <c r="I396" s="3">
        <v>3537.07</v>
      </c>
    </row>
    <row r="397" spans="1:9">
      <c r="A397" s="3">
        <v>46073</v>
      </c>
      <c r="B397" s="3" t="s">
        <v>127</v>
      </c>
      <c r="C397" s="3">
        <v>3063.35</v>
      </c>
      <c r="D397" s="3">
        <v>80</v>
      </c>
      <c r="E397" s="3">
        <v>0</v>
      </c>
      <c r="F397" s="3">
        <v>0</v>
      </c>
      <c r="G397" s="3">
        <v>684.5</v>
      </c>
      <c r="H397" s="3">
        <v>0</v>
      </c>
      <c r="I397" s="3">
        <v>2378.85</v>
      </c>
    </row>
    <row r="398" spans="1:9">
      <c r="A398" s="3">
        <v>46073</v>
      </c>
      <c r="B398" s="3" t="s">
        <v>131</v>
      </c>
      <c r="C398" s="3">
        <v>4899.87</v>
      </c>
      <c r="D398" s="3">
        <v>80</v>
      </c>
      <c r="E398" s="3">
        <v>4</v>
      </c>
      <c r="F398" s="3">
        <v>0</v>
      </c>
      <c r="G398" s="3">
        <v>919.84</v>
      </c>
      <c r="H398" s="3">
        <v>310</v>
      </c>
      <c r="I398" s="3">
        <v>3670.03</v>
      </c>
    </row>
    <row r="399" spans="1:9">
      <c r="A399" s="3">
        <v>46073</v>
      </c>
      <c r="B399" s="3" t="s">
        <v>135</v>
      </c>
      <c r="C399" s="3">
        <v>3105.97</v>
      </c>
      <c r="D399" s="3">
        <v>80</v>
      </c>
      <c r="E399" s="3">
        <v>0</v>
      </c>
      <c r="F399" s="3">
        <v>0</v>
      </c>
      <c r="G399" s="3">
        <v>686.36</v>
      </c>
      <c r="H399" s="3">
        <v>0</v>
      </c>
      <c r="I399" s="3">
        <v>2419.61</v>
      </c>
    </row>
    <row r="400" spans="1:9">
      <c r="A400" s="3">
        <v>46073</v>
      </c>
      <c r="B400" s="3" t="s">
        <v>137</v>
      </c>
      <c r="C400" s="3">
        <v>4000.1</v>
      </c>
      <c r="D400" s="3">
        <v>80</v>
      </c>
      <c r="E400" s="3">
        <v>2</v>
      </c>
      <c r="F400" s="3">
        <v>250</v>
      </c>
      <c r="G400" s="3">
        <v>891.44</v>
      </c>
      <c r="H400" s="3">
        <v>185</v>
      </c>
      <c r="I400" s="3">
        <v>2923.66</v>
      </c>
    </row>
    <row r="401" spans="1:9">
      <c r="A401" s="3">
        <v>46073</v>
      </c>
      <c r="B401" s="3" t="s">
        <v>139</v>
      </c>
      <c r="C401" s="3">
        <v>6219.03</v>
      </c>
      <c r="D401" s="3">
        <v>80</v>
      </c>
      <c r="E401" s="3">
        <v>10</v>
      </c>
      <c r="F401" s="3">
        <v>500</v>
      </c>
      <c r="G401" s="3">
        <v>1297.92</v>
      </c>
      <c r="H401" s="3">
        <v>0</v>
      </c>
      <c r="I401" s="3">
        <v>4921.1099999999997</v>
      </c>
    </row>
    <row r="402" spans="1:9">
      <c r="A402" s="3">
        <v>46073</v>
      </c>
      <c r="B402" s="3" t="s">
        <v>142</v>
      </c>
      <c r="C402" s="3">
        <v>2661.67</v>
      </c>
      <c r="D402" s="3">
        <v>80</v>
      </c>
      <c r="E402" s="3">
        <v>4</v>
      </c>
      <c r="F402" s="3">
        <v>0</v>
      </c>
      <c r="G402" s="3">
        <v>506.67</v>
      </c>
      <c r="H402" s="3">
        <v>0</v>
      </c>
      <c r="I402" s="3">
        <v>2155</v>
      </c>
    </row>
    <row r="403" spans="1:9">
      <c r="A403" s="3">
        <v>46073</v>
      </c>
      <c r="B403" s="3" t="s">
        <v>145</v>
      </c>
      <c r="C403" s="3">
        <v>3005.03</v>
      </c>
      <c r="D403" s="3">
        <v>80</v>
      </c>
      <c r="E403" s="3">
        <v>6</v>
      </c>
      <c r="F403" s="3">
        <v>500</v>
      </c>
      <c r="G403" s="3">
        <v>757.28</v>
      </c>
      <c r="H403" s="3">
        <v>310</v>
      </c>
      <c r="I403" s="3">
        <v>1937.75</v>
      </c>
    </row>
    <row r="404" spans="1:9">
      <c r="A404" s="3">
        <v>46073</v>
      </c>
      <c r="B404" s="3" t="s">
        <v>148</v>
      </c>
      <c r="C404" s="3">
        <v>2987.08</v>
      </c>
      <c r="D404" s="3">
        <v>80</v>
      </c>
      <c r="E404" s="3">
        <v>2</v>
      </c>
      <c r="F404" s="3">
        <v>250</v>
      </c>
      <c r="G404" s="3">
        <v>580.72</v>
      </c>
      <c r="H404" s="3">
        <v>310</v>
      </c>
      <c r="I404" s="3">
        <v>2096.36</v>
      </c>
    </row>
    <row r="405" spans="1:9">
      <c r="A405" s="3">
        <v>46073</v>
      </c>
      <c r="B405" s="3" t="s">
        <v>150</v>
      </c>
      <c r="C405" s="3">
        <v>2817.37</v>
      </c>
      <c r="D405" s="3">
        <v>80</v>
      </c>
      <c r="E405" s="3">
        <v>8</v>
      </c>
      <c r="F405" s="3">
        <v>0</v>
      </c>
      <c r="G405" s="3">
        <v>609.83000000000004</v>
      </c>
      <c r="H405" s="3">
        <v>185</v>
      </c>
      <c r="I405" s="3">
        <v>2022.54</v>
      </c>
    </row>
    <row r="406" spans="1:9">
      <c r="A406" s="3">
        <v>46073</v>
      </c>
      <c r="B406" s="3" t="s">
        <v>151</v>
      </c>
      <c r="C406" s="3">
        <v>4353.17</v>
      </c>
      <c r="D406" s="3">
        <v>80</v>
      </c>
      <c r="E406" s="3">
        <v>0</v>
      </c>
      <c r="F406" s="3">
        <v>0</v>
      </c>
      <c r="G406" s="3">
        <v>952.87</v>
      </c>
      <c r="H406" s="3">
        <v>185</v>
      </c>
      <c r="I406" s="3">
        <v>3215.3</v>
      </c>
    </row>
    <row r="407" spans="1:9">
      <c r="A407" s="3">
        <v>46073</v>
      </c>
      <c r="B407" s="3" t="s">
        <v>153</v>
      </c>
      <c r="C407" s="3">
        <v>4736.4799999999996</v>
      </c>
      <c r="D407" s="3">
        <v>80</v>
      </c>
      <c r="E407" s="3">
        <v>0</v>
      </c>
      <c r="F407" s="3">
        <v>500</v>
      </c>
      <c r="G407" s="3">
        <v>936.68</v>
      </c>
      <c r="H407" s="3">
        <v>310</v>
      </c>
      <c r="I407" s="3">
        <v>3489.8</v>
      </c>
    </row>
    <row r="408" spans="1:9">
      <c r="A408" s="3">
        <v>46073</v>
      </c>
      <c r="B408" s="3" t="s">
        <v>156</v>
      </c>
      <c r="C408" s="3">
        <v>3469.44</v>
      </c>
      <c r="D408" s="3">
        <v>80</v>
      </c>
      <c r="E408" s="3">
        <v>8</v>
      </c>
      <c r="F408" s="3">
        <v>0</v>
      </c>
      <c r="G408" s="3">
        <v>691.57</v>
      </c>
      <c r="H408" s="3">
        <v>185</v>
      </c>
      <c r="I408" s="3">
        <v>2592.87</v>
      </c>
    </row>
    <row r="409" spans="1:9">
      <c r="A409" s="3">
        <v>46073</v>
      </c>
      <c r="B409" s="3" t="s">
        <v>158</v>
      </c>
      <c r="C409" s="3">
        <v>2913.49</v>
      </c>
      <c r="D409" s="3">
        <v>80</v>
      </c>
      <c r="E409" s="3">
        <v>4</v>
      </c>
      <c r="F409" s="3">
        <v>500</v>
      </c>
      <c r="G409" s="3">
        <v>540.83000000000004</v>
      </c>
      <c r="H409" s="3">
        <v>0</v>
      </c>
      <c r="I409" s="3">
        <v>2372.66</v>
      </c>
    </row>
    <row r="410" spans="1:9">
      <c r="A410" s="3">
        <v>46073</v>
      </c>
      <c r="B410" s="3" t="s">
        <v>160</v>
      </c>
      <c r="C410" s="3">
        <v>3118.97</v>
      </c>
      <c r="D410" s="3">
        <v>80</v>
      </c>
      <c r="E410" s="3">
        <v>0</v>
      </c>
      <c r="F410" s="3">
        <v>250</v>
      </c>
      <c r="G410" s="3">
        <v>652.91999999999996</v>
      </c>
      <c r="H410" s="3">
        <v>185</v>
      </c>
      <c r="I410" s="3">
        <v>2281.0500000000002</v>
      </c>
    </row>
    <row r="411" spans="1:9">
      <c r="A411" s="3">
        <v>46073</v>
      </c>
      <c r="B411" s="3" t="s">
        <v>163</v>
      </c>
      <c r="C411" s="3">
        <v>3778.93</v>
      </c>
      <c r="D411" s="3">
        <v>80</v>
      </c>
      <c r="E411" s="3">
        <v>10</v>
      </c>
      <c r="F411" s="3">
        <v>0</v>
      </c>
      <c r="G411" s="3">
        <v>973.59</v>
      </c>
      <c r="H411" s="3">
        <v>0</v>
      </c>
      <c r="I411" s="3">
        <v>2805.34</v>
      </c>
    </row>
    <row r="412" spans="1:9">
      <c r="A412" s="3">
        <v>46073</v>
      </c>
      <c r="B412" s="3" t="s">
        <v>166</v>
      </c>
      <c r="C412" s="3">
        <v>5293.46</v>
      </c>
      <c r="D412" s="3">
        <v>80</v>
      </c>
      <c r="E412" s="3">
        <v>6</v>
      </c>
      <c r="F412" s="3">
        <v>250</v>
      </c>
      <c r="G412" s="3">
        <v>1139.8399999999999</v>
      </c>
      <c r="H412" s="3">
        <v>310</v>
      </c>
      <c r="I412" s="3">
        <v>3843.62</v>
      </c>
    </row>
    <row r="413" spans="1:9">
      <c r="A413" s="3">
        <v>46073</v>
      </c>
      <c r="B413" s="3" t="s">
        <v>168</v>
      </c>
      <c r="C413" s="3">
        <v>2607.98</v>
      </c>
      <c r="D413" s="3">
        <v>80</v>
      </c>
      <c r="E413" s="3">
        <v>0</v>
      </c>
      <c r="F413" s="3">
        <v>0</v>
      </c>
      <c r="G413" s="3">
        <v>576.9</v>
      </c>
      <c r="H413" s="3">
        <v>0</v>
      </c>
      <c r="I413" s="3">
        <v>2031.08</v>
      </c>
    </row>
    <row r="414" spans="1:9">
      <c r="A414" s="3">
        <v>46073</v>
      </c>
      <c r="B414" s="3" t="s">
        <v>170</v>
      </c>
      <c r="C414" s="3">
        <v>2971.84</v>
      </c>
      <c r="D414" s="3">
        <v>80</v>
      </c>
      <c r="E414" s="3">
        <v>0</v>
      </c>
      <c r="F414" s="3">
        <v>500</v>
      </c>
      <c r="G414" s="3">
        <v>614.49</v>
      </c>
      <c r="H414" s="3">
        <v>185</v>
      </c>
      <c r="I414" s="3">
        <v>2172.35</v>
      </c>
    </row>
    <row r="415" spans="1:9">
      <c r="A415" s="3">
        <v>46073</v>
      </c>
      <c r="B415" s="3" t="s">
        <v>172</v>
      </c>
      <c r="C415" s="3">
        <v>3674.01</v>
      </c>
      <c r="D415" s="3">
        <v>80</v>
      </c>
      <c r="E415" s="3">
        <v>0</v>
      </c>
      <c r="F415" s="3">
        <v>500</v>
      </c>
      <c r="G415" s="3">
        <v>700.29</v>
      </c>
      <c r="H415" s="3">
        <v>310</v>
      </c>
      <c r="I415" s="3">
        <v>2663.72</v>
      </c>
    </row>
    <row r="416" spans="1:9">
      <c r="A416" s="3">
        <v>46073</v>
      </c>
      <c r="B416" s="3" t="s">
        <v>175</v>
      </c>
      <c r="C416" s="3">
        <v>5028.3599999999997</v>
      </c>
      <c r="D416" s="3">
        <v>80</v>
      </c>
      <c r="E416" s="3">
        <v>4</v>
      </c>
      <c r="F416" s="3">
        <v>0</v>
      </c>
      <c r="G416" s="3">
        <v>1218.92</v>
      </c>
      <c r="H416" s="3">
        <v>310</v>
      </c>
      <c r="I416" s="3">
        <v>3499.44</v>
      </c>
    </row>
    <row r="417" spans="1:9">
      <c r="A417" s="3">
        <v>46073</v>
      </c>
      <c r="B417" s="3" t="s">
        <v>177</v>
      </c>
      <c r="C417" s="3">
        <v>3808.71</v>
      </c>
      <c r="D417" s="3">
        <v>80</v>
      </c>
      <c r="E417" s="3">
        <v>8</v>
      </c>
      <c r="F417" s="3">
        <v>0</v>
      </c>
      <c r="G417" s="3">
        <v>882.6</v>
      </c>
      <c r="H417" s="3">
        <v>310</v>
      </c>
      <c r="I417" s="3">
        <v>2616.11</v>
      </c>
    </row>
    <row r="418" spans="1:9">
      <c r="A418" s="3">
        <v>46073</v>
      </c>
      <c r="B418" s="3" t="s">
        <v>179</v>
      </c>
      <c r="C418" s="3">
        <v>5041.67</v>
      </c>
      <c r="D418" s="3">
        <v>80</v>
      </c>
      <c r="E418" s="3">
        <v>8</v>
      </c>
      <c r="F418" s="3">
        <v>0</v>
      </c>
      <c r="G418" s="3">
        <v>1151.3399999999999</v>
      </c>
      <c r="H418" s="3">
        <v>310</v>
      </c>
      <c r="I418" s="3">
        <v>3580.33</v>
      </c>
    </row>
    <row r="419" spans="1:9">
      <c r="A419" s="3">
        <v>46073</v>
      </c>
      <c r="B419" s="3" t="s">
        <v>181</v>
      </c>
      <c r="C419" s="3">
        <v>3848.72</v>
      </c>
      <c r="D419" s="3">
        <v>80</v>
      </c>
      <c r="E419" s="3">
        <v>0</v>
      </c>
      <c r="F419" s="3">
        <v>250</v>
      </c>
      <c r="G419" s="3">
        <v>792.82</v>
      </c>
      <c r="H419" s="3">
        <v>185</v>
      </c>
      <c r="I419" s="3">
        <v>2870.9</v>
      </c>
    </row>
    <row r="420" spans="1:9">
      <c r="A420" s="3">
        <v>46073</v>
      </c>
      <c r="B420" s="3" t="s">
        <v>183</v>
      </c>
      <c r="C420" s="3">
        <v>2055.56</v>
      </c>
      <c r="D420" s="3">
        <v>80</v>
      </c>
      <c r="E420" s="3">
        <v>0</v>
      </c>
      <c r="F420" s="3">
        <v>0</v>
      </c>
      <c r="G420" s="3">
        <v>484.59</v>
      </c>
      <c r="H420" s="3">
        <v>185</v>
      </c>
      <c r="I420" s="3">
        <v>1385.97</v>
      </c>
    </row>
    <row r="421" spans="1:9">
      <c r="A421" s="3">
        <v>46073</v>
      </c>
      <c r="B421" s="3" t="s">
        <v>186</v>
      </c>
      <c r="C421" s="3">
        <v>5390.6</v>
      </c>
      <c r="D421" s="3">
        <v>80</v>
      </c>
      <c r="E421" s="3">
        <v>6</v>
      </c>
      <c r="F421" s="3">
        <v>0</v>
      </c>
      <c r="G421" s="3">
        <v>1064.98</v>
      </c>
      <c r="H421" s="3">
        <v>0</v>
      </c>
      <c r="I421" s="3">
        <v>4325.62</v>
      </c>
    </row>
    <row r="422" spans="1:9">
      <c r="A422" s="3">
        <v>46073</v>
      </c>
      <c r="B422" s="3" t="s">
        <v>190</v>
      </c>
      <c r="C422" s="3">
        <v>4540.6000000000004</v>
      </c>
      <c r="D422" s="3">
        <v>80</v>
      </c>
      <c r="E422" s="3">
        <v>8</v>
      </c>
      <c r="F422" s="3">
        <v>250</v>
      </c>
      <c r="G422" s="3">
        <v>1019.58</v>
      </c>
      <c r="H422" s="3">
        <v>185</v>
      </c>
      <c r="I422" s="3">
        <v>3336.02</v>
      </c>
    </row>
    <row r="423" spans="1:9">
      <c r="A423" s="3">
        <v>46073</v>
      </c>
      <c r="B423" s="3" t="s">
        <v>193</v>
      </c>
      <c r="C423" s="3">
        <v>3755.66</v>
      </c>
      <c r="D423" s="3">
        <v>80</v>
      </c>
      <c r="E423" s="3">
        <v>10</v>
      </c>
      <c r="F423" s="3">
        <v>0</v>
      </c>
      <c r="G423" s="3">
        <v>826.04</v>
      </c>
      <c r="H423" s="3">
        <v>185</v>
      </c>
      <c r="I423" s="3">
        <v>2744.62</v>
      </c>
    </row>
    <row r="424" spans="1:9">
      <c r="A424" s="3">
        <v>46073</v>
      </c>
      <c r="B424" s="3" t="s">
        <v>195</v>
      </c>
      <c r="C424" s="3">
        <v>3195.58</v>
      </c>
      <c r="D424" s="3">
        <v>80</v>
      </c>
      <c r="E424" s="3">
        <v>0</v>
      </c>
      <c r="F424" s="3">
        <v>0</v>
      </c>
      <c r="G424" s="3">
        <v>804.1</v>
      </c>
      <c r="H424" s="3">
        <v>310</v>
      </c>
      <c r="I424" s="3">
        <v>2081.48</v>
      </c>
    </row>
    <row r="425" spans="1:9">
      <c r="A425" s="3">
        <v>46073</v>
      </c>
      <c r="B425" s="3" t="s">
        <v>197</v>
      </c>
      <c r="C425" s="3">
        <v>3049.23</v>
      </c>
      <c r="D425" s="3">
        <v>80</v>
      </c>
      <c r="E425" s="3">
        <v>2</v>
      </c>
      <c r="F425" s="3">
        <v>0</v>
      </c>
      <c r="G425" s="3">
        <v>610.57000000000005</v>
      </c>
      <c r="H425" s="3">
        <v>310</v>
      </c>
      <c r="I425" s="3">
        <v>2128.66</v>
      </c>
    </row>
    <row r="426" spans="1:9">
      <c r="A426" s="3">
        <v>46073</v>
      </c>
      <c r="B426" s="3" t="s">
        <v>199</v>
      </c>
      <c r="C426" s="3">
        <v>4272.7</v>
      </c>
      <c r="D426" s="3">
        <v>80</v>
      </c>
      <c r="E426" s="3">
        <v>4</v>
      </c>
      <c r="F426" s="3">
        <v>0</v>
      </c>
      <c r="G426" s="3">
        <v>986.6</v>
      </c>
      <c r="H426" s="3">
        <v>310</v>
      </c>
      <c r="I426" s="3">
        <v>2976.1</v>
      </c>
    </row>
    <row r="427" spans="1:9">
      <c r="A427" s="3">
        <v>46073</v>
      </c>
      <c r="B427" s="3" t="s">
        <v>201</v>
      </c>
      <c r="C427" s="3">
        <v>5731.27</v>
      </c>
      <c r="D427" s="3">
        <v>80</v>
      </c>
      <c r="E427" s="3">
        <v>10</v>
      </c>
      <c r="F427" s="3">
        <v>250</v>
      </c>
      <c r="G427" s="3">
        <v>1327.04</v>
      </c>
      <c r="H427" s="3">
        <v>310</v>
      </c>
      <c r="I427" s="3">
        <v>4094.23</v>
      </c>
    </row>
    <row r="428" spans="1:9">
      <c r="A428" s="3">
        <v>46073</v>
      </c>
      <c r="B428" s="3" t="s">
        <v>204</v>
      </c>
      <c r="C428" s="3">
        <v>2581.5300000000002</v>
      </c>
      <c r="D428" s="3">
        <v>80</v>
      </c>
      <c r="E428" s="3">
        <v>4</v>
      </c>
      <c r="F428" s="3">
        <v>250</v>
      </c>
      <c r="G428" s="3">
        <v>549.91</v>
      </c>
      <c r="H428" s="3">
        <v>185</v>
      </c>
      <c r="I428" s="3">
        <v>1846.62</v>
      </c>
    </row>
    <row r="429" spans="1:9">
      <c r="A429" s="3">
        <v>46073</v>
      </c>
      <c r="B429" s="3" t="s">
        <v>206</v>
      </c>
      <c r="C429" s="3">
        <v>3035.53</v>
      </c>
      <c r="D429" s="3">
        <v>80</v>
      </c>
      <c r="E429" s="3">
        <v>0</v>
      </c>
      <c r="F429" s="3">
        <v>500</v>
      </c>
      <c r="G429" s="3">
        <v>606.1</v>
      </c>
      <c r="H429" s="3">
        <v>310</v>
      </c>
      <c r="I429" s="3">
        <v>2119.4299999999998</v>
      </c>
    </row>
    <row r="430" spans="1:9">
      <c r="A430" s="3">
        <v>46073</v>
      </c>
      <c r="B430" s="3" t="s">
        <v>209</v>
      </c>
      <c r="C430" s="3">
        <v>5231.0200000000004</v>
      </c>
      <c r="D430" s="3">
        <v>80</v>
      </c>
      <c r="E430" s="3">
        <v>8</v>
      </c>
      <c r="F430" s="3">
        <v>0</v>
      </c>
      <c r="G430" s="3">
        <v>1249.33</v>
      </c>
      <c r="H430" s="3">
        <v>0</v>
      </c>
      <c r="I430" s="3">
        <v>3981.69</v>
      </c>
    </row>
    <row r="431" spans="1:9">
      <c r="A431" s="3">
        <v>46073</v>
      </c>
      <c r="B431" s="3" t="s">
        <v>211</v>
      </c>
      <c r="C431" s="3">
        <v>2692.29</v>
      </c>
      <c r="D431" s="3">
        <v>80</v>
      </c>
      <c r="E431" s="3">
        <v>2</v>
      </c>
      <c r="F431" s="3">
        <v>0</v>
      </c>
      <c r="G431" s="3">
        <v>492.42</v>
      </c>
      <c r="H431" s="3">
        <v>0</v>
      </c>
      <c r="I431" s="3">
        <v>2199.87</v>
      </c>
    </row>
    <row r="432" spans="1:9">
      <c r="A432" s="3">
        <v>46073</v>
      </c>
      <c r="B432" s="3" t="s">
        <v>213</v>
      </c>
      <c r="C432" s="3">
        <v>5062.32</v>
      </c>
      <c r="D432" s="3">
        <v>80</v>
      </c>
      <c r="E432" s="3">
        <v>4</v>
      </c>
      <c r="F432" s="3">
        <v>0</v>
      </c>
      <c r="G432" s="3">
        <v>950.85</v>
      </c>
      <c r="H432" s="3">
        <v>185</v>
      </c>
      <c r="I432" s="3">
        <v>3926.47</v>
      </c>
    </row>
    <row r="433" spans="1:9">
      <c r="A433" s="3">
        <v>46073</v>
      </c>
      <c r="B433" s="3" t="s">
        <v>215</v>
      </c>
      <c r="C433" s="3">
        <v>3447.03</v>
      </c>
      <c r="D433" s="3">
        <v>80</v>
      </c>
      <c r="E433" s="3">
        <v>0</v>
      </c>
      <c r="F433" s="3">
        <v>0</v>
      </c>
      <c r="G433" s="3">
        <v>849.3</v>
      </c>
      <c r="H433" s="3">
        <v>310</v>
      </c>
      <c r="I433" s="3">
        <v>2287.73</v>
      </c>
    </row>
    <row r="434" spans="1:9">
      <c r="A434" s="3">
        <v>46073</v>
      </c>
      <c r="B434" s="3" t="s">
        <v>218</v>
      </c>
      <c r="C434" s="3">
        <v>6025.23</v>
      </c>
      <c r="D434" s="3">
        <v>80</v>
      </c>
      <c r="E434" s="3">
        <v>6</v>
      </c>
      <c r="F434" s="3">
        <v>500</v>
      </c>
      <c r="G434" s="3">
        <v>1316.72</v>
      </c>
      <c r="H434" s="3">
        <v>0</v>
      </c>
      <c r="I434" s="3">
        <v>4708.51</v>
      </c>
    </row>
    <row r="435" spans="1:9">
      <c r="A435" s="3">
        <v>46073</v>
      </c>
      <c r="B435" s="3" t="s">
        <v>220</v>
      </c>
      <c r="C435" s="3">
        <v>4323.37</v>
      </c>
      <c r="D435" s="3">
        <v>80</v>
      </c>
      <c r="E435" s="3">
        <v>0</v>
      </c>
      <c r="F435" s="3">
        <v>0</v>
      </c>
      <c r="G435" s="3">
        <v>1091.6099999999999</v>
      </c>
      <c r="H435" s="3">
        <v>0</v>
      </c>
      <c r="I435" s="3">
        <v>3231.76</v>
      </c>
    </row>
    <row r="436" spans="1:9">
      <c r="A436" s="3">
        <v>46073</v>
      </c>
      <c r="B436" s="3" t="s">
        <v>222</v>
      </c>
      <c r="C436" s="3">
        <v>2934.74</v>
      </c>
      <c r="D436" s="3">
        <v>80</v>
      </c>
      <c r="E436" s="3">
        <v>6</v>
      </c>
      <c r="F436" s="3">
        <v>250</v>
      </c>
      <c r="G436" s="3">
        <v>670.56</v>
      </c>
      <c r="H436" s="3">
        <v>185</v>
      </c>
      <c r="I436" s="3">
        <v>2079.1799999999998</v>
      </c>
    </row>
    <row r="437" spans="1:9">
      <c r="A437" s="3">
        <v>46073</v>
      </c>
      <c r="B437" s="3" t="s">
        <v>225</v>
      </c>
      <c r="C437" s="3">
        <v>4041.04</v>
      </c>
      <c r="D437" s="3">
        <v>80</v>
      </c>
      <c r="E437" s="3">
        <v>6</v>
      </c>
      <c r="F437" s="3">
        <v>500</v>
      </c>
      <c r="G437" s="3">
        <v>935.69</v>
      </c>
      <c r="H437" s="3">
        <v>310</v>
      </c>
      <c r="I437" s="3">
        <v>2795.35</v>
      </c>
    </row>
    <row r="438" spans="1:9">
      <c r="A438" s="3">
        <v>46073</v>
      </c>
      <c r="B438" s="3" t="s">
        <v>227</v>
      </c>
      <c r="C438" s="3">
        <v>3907.76</v>
      </c>
      <c r="D438" s="3">
        <v>80</v>
      </c>
      <c r="E438" s="3">
        <v>0</v>
      </c>
      <c r="F438" s="3">
        <v>0</v>
      </c>
      <c r="G438" s="3">
        <v>979.72</v>
      </c>
      <c r="H438" s="3">
        <v>310</v>
      </c>
      <c r="I438" s="3">
        <v>2618.04</v>
      </c>
    </row>
    <row r="439" spans="1:9">
      <c r="A439" s="3">
        <v>46073</v>
      </c>
      <c r="B439" s="3" t="s">
        <v>229</v>
      </c>
      <c r="C439" s="3">
        <v>2864.5</v>
      </c>
      <c r="D439" s="3">
        <v>80</v>
      </c>
      <c r="E439" s="3">
        <v>0</v>
      </c>
      <c r="F439" s="3">
        <v>0</v>
      </c>
      <c r="G439" s="3">
        <v>548.32000000000005</v>
      </c>
      <c r="H439" s="3">
        <v>0</v>
      </c>
      <c r="I439" s="3">
        <v>2316.1799999999998</v>
      </c>
    </row>
    <row r="440" spans="1:9">
      <c r="A440" s="3">
        <v>46073</v>
      </c>
      <c r="B440" s="3" t="s">
        <v>231</v>
      </c>
      <c r="C440" s="3">
        <v>4251.54</v>
      </c>
      <c r="D440" s="3">
        <v>80</v>
      </c>
      <c r="E440" s="3">
        <v>0</v>
      </c>
      <c r="F440" s="3">
        <v>0</v>
      </c>
      <c r="G440" s="3">
        <v>888.52</v>
      </c>
      <c r="H440" s="3">
        <v>0</v>
      </c>
      <c r="I440" s="3">
        <v>3363.02</v>
      </c>
    </row>
    <row r="441" spans="1:9">
      <c r="A441" s="3">
        <v>46073</v>
      </c>
      <c r="B441" s="3" t="s">
        <v>233</v>
      </c>
      <c r="C441" s="3">
        <v>4724.4399999999996</v>
      </c>
      <c r="D441" s="3">
        <v>80</v>
      </c>
      <c r="E441" s="3">
        <v>2</v>
      </c>
      <c r="F441" s="3">
        <v>500</v>
      </c>
      <c r="G441" s="3">
        <v>910.85</v>
      </c>
      <c r="H441" s="3">
        <v>0</v>
      </c>
      <c r="I441" s="3">
        <v>3813.59</v>
      </c>
    </row>
    <row r="442" spans="1:9">
      <c r="A442" s="3">
        <v>46073</v>
      </c>
      <c r="B442" s="3" t="s">
        <v>234</v>
      </c>
      <c r="C442" s="3">
        <v>4092.84</v>
      </c>
      <c r="D442" s="3">
        <v>80</v>
      </c>
      <c r="E442" s="3">
        <v>4</v>
      </c>
      <c r="F442" s="3">
        <v>500</v>
      </c>
      <c r="G442" s="3">
        <v>903.2</v>
      </c>
      <c r="H442" s="3">
        <v>0</v>
      </c>
      <c r="I442" s="3">
        <v>3189.64</v>
      </c>
    </row>
    <row r="443" spans="1:9">
      <c r="A443" s="3">
        <v>46073</v>
      </c>
      <c r="B443" s="3" t="s">
        <v>236</v>
      </c>
      <c r="C443" s="3">
        <v>3154.63</v>
      </c>
      <c r="D443" s="3">
        <v>80</v>
      </c>
      <c r="E443" s="3">
        <v>0</v>
      </c>
      <c r="F443" s="3">
        <v>0</v>
      </c>
      <c r="G443" s="3">
        <v>646.83000000000004</v>
      </c>
      <c r="H443" s="3">
        <v>310</v>
      </c>
      <c r="I443" s="3">
        <v>2197.8000000000002</v>
      </c>
    </row>
    <row r="444" spans="1:9">
      <c r="A444" s="3">
        <v>46073</v>
      </c>
      <c r="B444" s="3" t="s">
        <v>238</v>
      </c>
      <c r="C444" s="3">
        <v>4344.17</v>
      </c>
      <c r="D444" s="3">
        <v>80</v>
      </c>
      <c r="E444" s="3">
        <v>6</v>
      </c>
      <c r="F444" s="3">
        <v>0</v>
      </c>
      <c r="G444" s="3">
        <v>909.91</v>
      </c>
      <c r="H444" s="3">
        <v>0</v>
      </c>
      <c r="I444" s="3">
        <v>3434.26</v>
      </c>
    </row>
    <row r="445" spans="1:9">
      <c r="A445" s="3">
        <v>46073</v>
      </c>
      <c r="B445" s="3" t="s">
        <v>240</v>
      </c>
      <c r="C445" s="3">
        <v>5133.51</v>
      </c>
      <c r="D445" s="3">
        <v>80</v>
      </c>
      <c r="E445" s="3">
        <v>0</v>
      </c>
      <c r="F445" s="3">
        <v>500</v>
      </c>
      <c r="G445" s="3">
        <v>1373.18</v>
      </c>
      <c r="H445" s="3">
        <v>310</v>
      </c>
      <c r="I445" s="3">
        <v>3450.33</v>
      </c>
    </row>
    <row r="446" spans="1:9">
      <c r="A446" s="3">
        <v>46073</v>
      </c>
      <c r="B446" s="3" t="s">
        <v>242</v>
      </c>
      <c r="C446" s="3">
        <v>5363.37</v>
      </c>
      <c r="D446" s="3">
        <v>80</v>
      </c>
      <c r="E446" s="3">
        <v>6</v>
      </c>
      <c r="F446" s="3">
        <v>0</v>
      </c>
      <c r="G446" s="3">
        <v>1157.3900000000001</v>
      </c>
      <c r="H446" s="3">
        <v>310</v>
      </c>
      <c r="I446" s="3">
        <v>3895.98</v>
      </c>
    </row>
    <row r="447" spans="1:9">
      <c r="A447" s="3">
        <v>46073</v>
      </c>
      <c r="B447" s="3" t="s">
        <v>244</v>
      </c>
      <c r="C447" s="3">
        <v>5351.63</v>
      </c>
      <c r="D447" s="3">
        <v>80</v>
      </c>
      <c r="E447" s="3">
        <v>8</v>
      </c>
      <c r="F447" s="3">
        <v>0</v>
      </c>
      <c r="G447" s="3">
        <v>1118.8</v>
      </c>
      <c r="H447" s="3">
        <v>0</v>
      </c>
      <c r="I447" s="3">
        <v>4232.83</v>
      </c>
    </row>
    <row r="448" spans="1:9">
      <c r="A448" s="3">
        <v>46073</v>
      </c>
      <c r="B448" s="3" t="s">
        <v>246</v>
      </c>
      <c r="C448" s="3">
        <v>4178.3500000000004</v>
      </c>
      <c r="D448" s="3">
        <v>80</v>
      </c>
      <c r="E448" s="3">
        <v>4</v>
      </c>
      <c r="F448" s="3">
        <v>0</v>
      </c>
      <c r="G448" s="3">
        <v>801.21</v>
      </c>
      <c r="H448" s="3">
        <v>310</v>
      </c>
      <c r="I448" s="3">
        <v>3067.14</v>
      </c>
    </row>
    <row r="449" spans="1:9">
      <c r="A449" s="3">
        <v>46073</v>
      </c>
      <c r="B449" s="3" t="s">
        <v>248</v>
      </c>
      <c r="C449" s="3">
        <v>2531.69</v>
      </c>
      <c r="D449" s="3">
        <v>80</v>
      </c>
      <c r="E449" s="3">
        <v>10</v>
      </c>
      <c r="F449" s="3">
        <v>0</v>
      </c>
      <c r="G449" s="3">
        <v>629.39</v>
      </c>
      <c r="H449" s="3">
        <v>310</v>
      </c>
      <c r="I449" s="3">
        <v>1592.3</v>
      </c>
    </row>
    <row r="450" spans="1:9">
      <c r="A450" s="3">
        <v>46073</v>
      </c>
      <c r="B450" s="3" t="s">
        <v>250</v>
      </c>
      <c r="C450" s="3">
        <v>4275.54</v>
      </c>
      <c r="D450" s="3">
        <v>80</v>
      </c>
      <c r="E450" s="3">
        <v>0</v>
      </c>
      <c r="F450" s="3">
        <v>0</v>
      </c>
      <c r="G450" s="3">
        <v>1091.56</v>
      </c>
      <c r="H450" s="3">
        <v>185</v>
      </c>
      <c r="I450" s="3">
        <v>2998.98</v>
      </c>
    </row>
    <row r="451" spans="1:9">
      <c r="A451" s="3">
        <v>46073</v>
      </c>
      <c r="B451" s="3" t="s">
        <v>252</v>
      </c>
      <c r="C451" s="3">
        <v>3675.32</v>
      </c>
      <c r="D451" s="3">
        <v>80</v>
      </c>
      <c r="E451" s="3">
        <v>0</v>
      </c>
      <c r="F451" s="3">
        <v>0</v>
      </c>
      <c r="G451" s="3">
        <v>713.82</v>
      </c>
      <c r="H451" s="3">
        <v>310</v>
      </c>
      <c r="I451" s="3">
        <v>2651.5</v>
      </c>
    </row>
    <row r="452" spans="1:9">
      <c r="A452" s="3">
        <v>46073</v>
      </c>
      <c r="B452" s="3" t="s">
        <v>254</v>
      </c>
      <c r="C452" s="3">
        <v>2490.91</v>
      </c>
      <c r="D452" s="3">
        <v>80</v>
      </c>
      <c r="E452" s="3">
        <v>10</v>
      </c>
      <c r="F452" s="3">
        <v>0</v>
      </c>
      <c r="G452" s="3">
        <v>544.27</v>
      </c>
      <c r="H452" s="3">
        <v>0</v>
      </c>
      <c r="I452" s="3">
        <v>1946.64</v>
      </c>
    </row>
    <row r="453" spans="1:9">
      <c r="A453" s="3">
        <v>46073</v>
      </c>
      <c r="B453" s="3" t="s">
        <v>256</v>
      </c>
      <c r="C453" s="3">
        <v>2605.4699999999998</v>
      </c>
      <c r="D453" s="3">
        <v>80</v>
      </c>
      <c r="E453" s="3">
        <v>0</v>
      </c>
      <c r="F453" s="3">
        <v>500</v>
      </c>
      <c r="G453" s="3">
        <v>674.03</v>
      </c>
      <c r="H453" s="3">
        <v>185</v>
      </c>
      <c r="I453" s="3">
        <v>1746.44</v>
      </c>
    </row>
    <row r="454" spans="1:9">
      <c r="A454" s="3">
        <v>46073</v>
      </c>
      <c r="B454" s="3" t="s">
        <v>259</v>
      </c>
      <c r="C454" s="3">
        <v>2736.57</v>
      </c>
      <c r="D454" s="3">
        <v>80</v>
      </c>
      <c r="E454" s="3">
        <v>4</v>
      </c>
      <c r="F454" s="3">
        <v>0</v>
      </c>
      <c r="G454" s="3">
        <v>554.25</v>
      </c>
      <c r="H454" s="3">
        <v>0</v>
      </c>
      <c r="I454" s="3">
        <v>2182.3200000000002</v>
      </c>
    </row>
    <row r="455" spans="1:9">
      <c r="A455" s="3">
        <v>46073</v>
      </c>
      <c r="B455" s="3" t="s">
        <v>261</v>
      </c>
      <c r="C455" s="3">
        <v>3601</v>
      </c>
      <c r="D455" s="3">
        <v>80</v>
      </c>
      <c r="E455" s="3">
        <v>6</v>
      </c>
      <c r="F455" s="3">
        <v>500</v>
      </c>
      <c r="G455" s="3">
        <v>701.83</v>
      </c>
      <c r="H455" s="3">
        <v>310</v>
      </c>
      <c r="I455" s="3">
        <v>2589.17</v>
      </c>
    </row>
    <row r="456" spans="1:9">
      <c r="A456" s="3">
        <v>46073</v>
      </c>
      <c r="B456" s="3" t="s">
        <v>263</v>
      </c>
      <c r="C456" s="3">
        <v>3896.06</v>
      </c>
      <c r="D456" s="3">
        <v>80</v>
      </c>
      <c r="E456" s="3">
        <v>8</v>
      </c>
      <c r="F456" s="3">
        <v>500</v>
      </c>
      <c r="G456" s="3">
        <v>946.55</v>
      </c>
      <c r="H456" s="3">
        <v>185</v>
      </c>
      <c r="I456" s="3">
        <v>2764.51</v>
      </c>
    </row>
    <row r="457" spans="1:9">
      <c r="A457" s="3">
        <v>46073</v>
      </c>
      <c r="B457" s="3" t="s">
        <v>265</v>
      </c>
      <c r="C457" s="3">
        <v>4955.8599999999997</v>
      </c>
      <c r="D457" s="3">
        <v>80</v>
      </c>
      <c r="E457" s="3">
        <v>2</v>
      </c>
      <c r="F457" s="3">
        <v>0</v>
      </c>
      <c r="G457" s="3">
        <v>1205.92</v>
      </c>
      <c r="H457" s="3">
        <v>185</v>
      </c>
      <c r="I457" s="3">
        <v>3564.94</v>
      </c>
    </row>
    <row r="458" spans="1:9">
      <c r="A458" s="3">
        <v>46073</v>
      </c>
      <c r="B458" s="3" t="s">
        <v>267</v>
      </c>
      <c r="C458" s="3">
        <v>2037.3</v>
      </c>
      <c r="D458" s="3">
        <v>80</v>
      </c>
      <c r="E458" s="3">
        <v>0</v>
      </c>
      <c r="F458" s="3">
        <v>0</v>
      </c>
      <c r="G458" s="3">
        <v>391.05</v>
      </c>
      <c r="H458" s="3">
        <v>310</v>
      </c>
      <c r="I458" s="3">
        <v>1336.25</v>
      </c>
    </row>
    <row r="459" spans="1:9">
      <c r="A459" s="3">
        <v>46073</v>
      </c>
      <c r="B459" s="3" t="s">
        <v>269</v>
      </c>
      <c r="C459" s="3">
        <v>4528.7</v>
      </c>
      <c r="D459" s="3">
        <v>80</v>
      </c>
      <c r="E459" s="3">
        <v>2</v>
      </c>
      <c r="F459" s="3">
        <v>250</v>
      </c>
      <c r="G459" s="3">
        <v>818.95</v>
      </c>
      <c r="H459" s="3">
        <v>185</v>
      </c>
      <c r="I459" s="3">
        <v>3524.75</v>
      </c>
    </row>
    <row r="460" spans="1:9">
      <c r="A460" s="3">
        <v>46073</v>
      </c>
      <c r="B460" s="3" t="s">
        <v>271</v>
      </c>
      <c r="C460" s="3">
        <v>4003.72</v>
      </c>
      <c r="D460" s="3">
        <v>80</v>
      </c>
      <c r="E460" s="3">
        <v>6</v>
      </c>
      <c r="F460" s="3">
        <v>0</v>
      </c>
      <c r="G460" s="3">
        <v>872.84</v>
      </c>
      <c r="H460" s="3">
        <v>185</v>
      </c>
      <c r="I460" s="3">
        <v>2945.88</v>
      </c>
    </row>
    <row r="461" spans="1:9">
      <c r="A461" s="3">
        <v>46073</v>
      </c>
      <c r="B461" s="3" t="s">
        <v>273</v>
      </c>
      <c r="C461" s="3">
        <v>4978.54</v>
      </c>
      <c r="D461" s="3">
        <v>80</v>
      </c>
      <c r="E461" s="3">
        <v>0</v>
      </c>
      <c r="F461" s="3">
        <v>0</v>
      </c>
      <c r="G461" s="3">
        <v>1067.78</v>
      </c>
      <c r="H461" s="3">
        <v>0</v>
      </c>
      <c r="I461" s="3">
        <v>3910.76</v>
      </c>
    </row>
    <row r="462" spans="1:9">
      <c r="A462" s="3">
        <v>46073</v>
      </c>
      <c r="B462" s="3" t="s">
        <v>276</v>
      </c>
      <c r="C462" s="3">
        <v>3029.13</v>
      </c>
      <c r="D462" s="3">
        <v>80</v>
      </c>
      <c r="E462" s="3">
        <v>0</v>
      </c>
      <c r="F462" s="3">
        <v>0</v>
      </c>
      <c r="G462" s="3">
        <v>785.42</v>
      </c>
      <c r="H462" s="3">
        <v>310</v>
      </c>
      <c r="I462" s="3">
        <v>1933.71</v>
      </c>
    </row>
    <row r="463" spans="1:9">
      <c r="A463" s="3">
        <v>46073</v>
      </c>
      <c r="B463" s="3" t="s">
        <v>278</v>
      </c>
      <c r="C463" s="3">
        <v>2936.75</v>
      </c>
      <c r="D463" s="3">
        <v>80</v>
      </c>
      <c r="E463" s="3">
        <v>0</v>
      </c>
      <c r="F463" s="3">
        <v>0</v>
      </c>
      <c r="G463" s="3">
        <v>727.68</v>
      </c>
      <c r="H463" s="3">
        <v>185</v>
      </c>
      <c r="I463" s="3">
        <v>2024.07</v>
      </c>
    </row>
    <row r="464" spans="1:9">
      <c r="A464" s="3">
        <v>46073</v>
      </c>
      <c r="B464" s="3" t="s">
        <v>280</v>
      </c>
      <c r="C464" s="3">
        <v>4909.2700000000004</v>
      </c>
      <c r="D464" s="3">
        <v>80</v>
      </c>
      <c r="E464" s="3">
        <v>0</v>
      </c>
      <c r="F464" s="3">
        <v>500</v>
      </c>
      <c r="G464" s="3">
        <v>946.79</v>
      </c>
      <c r="H464" s="3">
        <v>310</v>
      </c>
      <c r="I464" s="3">
        <v>3652.48</v>
      </c>
    </row>
    <row r="465" spans="1:9">
      <c r="A465" s="3">
        <v>46073</v>
      </c>
      <c r="B465" s="3" t="s">
        <v>282</v>
      </c>
      <c r="C465" s="3">
        <v>5103.6499999999996</v>
      </c>
      <c r="D465" s="3">
        <v>80</v>
      </c>
      <c r="E465" s="3">
        <v>0</v>
      </c>
      <c r="F465" s="3">
        <v>250</v>
      </c>
      <c r="G465" s="3">
        <v>1120.81</v>
      </c>
      <c r="H465" s="3">
        <v>310</v>
      </c>
      <c r="I465" s="3">
        <v>3672.84</v>
      </c>
    </row>
    <row r="466" spans="1:9">
      <c r="A466" s="3">
        <v>46073</v>
      </c>
      <c r="B466" s="3" t="s">
        <v>284</v>
      </c>
      <c r="C466" s="3">
        <v>4383.07</v>
      </c>
      <c r="D466" s="3">
        <v>80</v>
      </c>
      <c r="E466" s="3">
        <v>2</v>
      </c>
      <c r="F466" s="3">
        <v>500</v>
      </c>
      <c r="G466" s="3">
        <v>1151.83</v>
      </c>
      <c r="H466" s="3">
        <v>0</v>
      </c>
      <c r="I466" s="3">
        <v>3231.24</v>
      </c>
    </row>
    <row r="467" spans="1:9">
      <c r="A467" s="3">
        <v>46073</v>
      </c>
      <c r="B467" s="3" t="s">
        <v>286</v>
      </c>
      <c r="C467" s="3">
        <v>4181.24</v>
      </c>
      <c r="D467" s="3">
        <v>80</v>
      </c>
      <c r="E467" s="3">
        <v>10</v>
      </c>
      <c r="F467" s="3">
        <v>0</v>
      </c>
      <c r="G467" s="3">
        <v>790.43</v>
      </c>
      <c r="H467" s="3">
        <v>185</v>
      </c>
      <c r="I467" s="3">
        <v>3205.81</v>
      </c>
    </row>
    <row r="468" spans="1:9">
      <c r="A468" s="3">
        <v>46073</v>
      </c>
      <c r="B468" s="3" t="s">
        <v>288</v>
      </c>
      <c r="C468" s="3">
        <v>3607.65</v>
      </c>
      <c r="D468" s="3">
        <v>80</v>
      </c>
      <c r="E468" s="3">
        <v>0</v>
      </c>
      <c r="F468" s="3">
        <v>250</v>
      </c>
      <c r="G468" s="3">
        <v>763.52</v>
      </c>
      <c r="H468" s="3">
        <v>0</v>
      </c>
      <c r="I468" s="3">
        <v>2844.13</v>
      </c>
    </row>
    <row r="469" spans="1:9">
      <c r="A469" s="3">
        <v>46073</v>
      </c>
      <c r="B469" s="3" t="s">
        <v>290</v>
      </c>
      <c r="C469" s="3">
        <v>3597.21</v>
      </c>
      <c r="D469" s="3">
        <v>80</v>
      </c>
      <c r="E469" s="3">
        <v>8</v>
      </c>
      <c r="F469" s="3">
        <v>0</v>
      </c>
      <c r="G469" s="3">
        <v>727.72</v>
      </c>
      <c r="H469" s="3">
        <v>310</v>
      </c>
      <c r="I469" s="3">
        <v>2559.4899999999998</v>
      </c>
    </row>
    <row r="470" spans="1:9">
      <c r="A470" s="3">
        <v>46073</v>
      </c>
      <c r="B470" s="3" t="s">
        <v>292</v>
      </c>
      <c r="C470" s="3">
        <v>4694.9799999999996</v>
      </c>
      <c r="D470" s="3">
        <v>80</v>
      </c>
      <c r="E470" s="3">
        <v>0</v>
      </c>
      <c r="F470" s="3">
        <v>0</v>
      </c>
      <c r="G470" s="3">
        <v>1098.6300000000001</v>
      </c>
      <c r="H470" s="3">
        <v>310</v>
      </c>
      <c r="I470" s="3">
        <v>3286.35</v>
      </c>
    </row>
    <row r="471" spans="1:9">
      <c r="A471" s="3">
        <v>46073</v>
      </c>
      <c r="B471" s="3" t="s">
        <v>294</v>
      </c>
      <c r="C471" s="3">
        <v>4114.82</v>
      </c>
      <c r="D471" s="3">
        <v>80</v>
      </c>
      <c r="E471" s="3">
        <v>4</v>
      </c>
      <c r="F471" s="3">
        <v>500</v>
      </c>
      <c r="G471" s="3">
        <v>1054.3699999999999</v>
      </c>
      <c r="H471" s="3">
        <v>310</v>
      </c>
      <c r="I471" s="3">
        <v>2750.45</v>
      </c>
    </row>
    <row r="472" spans="1:9">
      <c r="A472" s="3">
        <v>46073</v>
      </c>
      <c r="B472" s="3" t="s">
        <v>296</v>
      </c>
      <c r="C472" s="3">
        <v>2729.73</v>
      </c>
      <c r="D472" s="3">
        <v>80</v>
      </c>
      <c r="E472" s="3">
        <v>4</v>
      </c>
      <c r="F472" s="3">
        <v>0</v>
      </c>
      <c r="G472" s="3">
        <v>616.53</v>
      </c>
      <c r="H472" s="3">
        <v>185</v>
      </c>
      <c r="I472" s="3">
        <v>1928.2</v>
      </c>
    </row>
    <row r="473" spans="1:9">
      <c r="A473" s="3">
        <v>46073</v>
      </c>
      <c r="B473" s="3" t="s">
        <v>298</v>
      </c>
      <c r="C473" s="3">
        <v>3988.09</v>
      </c>
      <c r="D473" s="3">
        <v>80</v>
      </c>
      <c r="E473" s="3">
        <v>8</v>
      </c>
      <c r="F473" s="3">
        <v>0</v>
      </c>
      <c r="G473" s="3">
        <v>999.18</v>
      </c>
      <c r="H473" s="3">
        <v>185</v>
      </c>
      <c r="I473" s="3">
        <v>2803.91</v>
      </c>
    </row>
    <row r="474" spans="1:9">
      <c r="A474" s="3">
        <v>46073</v>
      </c>
      <c r="B474" s="3" t="s">
        <v>300</v>
      </c>
      <c r="C474" s="3">
        <v>4702.9399999999996</v>
      </c>
      <c r="D474" s="3">
        <v>80</v>
      </c>
      <c r="E474" s="3">
        <v>2</v>
      </c>
      <c r="F474" s="3">
        <v>0</v>
      </c>
      <c r="G474" s="3">
        <v>948.57</v>
      </c>
      <c r="H474" s="3">
        <v>310</v>
      </c>
      <c r="I474" s="3">
        <v>3444.37</v>
      </c>
    </row>
    <row r="475" spans="1:9">
      <c r="A475" s="3">
        <v>46073</v>
      </c>
      <c r="B475" s="3" t="s">
        <v>302</v>
      </c>
      <c r="C475" s="3">
        <v>5269.44</v>
      </c>
      <c r="D475" s="3">
        <v>80</v>
      </c>
      <c r="E475" s="3">
        <v>0</v>
      </c>
      <c r="F475" s="3">
        <v>250</v>
      </c>
      <c r="G475" s="3">
        <v>954.22</v>
      </c>
      <c r="H475" s="3">
        <v>0</v>
      </c>
      <c r="I475" s="3">
        <v>4315.22</v>
      </c>
    </row>
    <row r="476" spans="1:9">
      <c r="A476" s="3">
        <v>46073</v>
      </c>
      <c r="B476" s="3" t="s">
        <v>304</v>
      </c>
      <c r="C476" s="3">
        <v>3490.23</v>
      </c>
      <c r="D476" s="3">
        <v>80</v>
      </c>
      <c r="E476" s="3">
        <v>6</v>
      </c>
      <c r="F476" s="3">
        <v>0</v>
      </c>
      <c r="G476" s="3">
        <v>898.64</v>
      </c>
      <c r="H476" s="3">
        <v>185</v>
      </c>
      <c r="I476" s="3">
        <v>2406.59</v>
      </c>
    </row>
    <row r="477" spans="1:9">
      <c r="A477" s="3">
        <v>46073</v>
      </c>
      <c r="B477" s="3" t="s">
        <v>306</v>
      </c>
      <c r="C477" s="3">
        <v>3938.88</v>
      </c>
      <c r="D477" s="3">
        <v>80</v>
      </c>
      <c r="E477" s="3">
        <v>8</v>
      </c>
      <c r="F477" s="3">
        <v>0</v>
      </c>
      <c r="G477" s="3">
        <v>770.25</v>
      </c>
      <c r="H477" s="3">
        <v>185</v>
      </c>
      <c r="I477" s="3">
        <v>2983.63</v>
      </c>
    </row>
    <row r="478" spans="1:9">
      <c r="A478" s="3">
        <v>46073</v>
      </c>
      <c r="B478" s="3" t="s">
        <v>308</v>
      </c>
      <c r="C478" s="3">
        <v>3675.31</v>
      </c>
      <c r="D478" s="3">
        <v>80</v>
      </c>
      <c r="E478" s="3">
        <v>10</v>
      </c>
      <c r="F478" s="3">
        <v>0</v>
      </c>
      <c r="G478" s="3">
        <v>683.89</v>
      </c>
      <c r="H478" s="3">
        <v>310</v>
      </c>
      <c r="I478" s="3">
        <v>2681.42</v>
      </c>
    </row>
    <row r="479" spans="1:9">
      <c r="A479" s="3">
        <v>46073</v>
      </c>
      <c r="B479" s="3" t="s">
        <v>310</v>
      </c>
      <c r="C479" s="3">
        <v>3284.67</v>
      </c>
      <c r="D479" s="3">
        <v>80</v>
      </c>
      <c r="E479" s="3">
        <v>4</v>
      </c>
      <c r="F479" s="3">
        <v>0</v>
      </c>
      <c r="G479" s="3">
        <v>609.12</v>
      </c>
      <c r="H479" s="3">
        <v>0</v>
      </c>
      <c r="I479" s="3">
        <v>2675.55</v>
      </c>
    </row>
    <row r="480" spans="1:9">
      <c r="A480" s="3">
        <v>46073</v>
      </c>
      <c r="B480" s="3" t="s">
        <v>312</v>
      </c>
      <c r="C480" s="3">
        <v>4264.32</v>
      </c>
      <c r="D480" s="3">
        <v>80</v>
      </c>
      <c r="E480" s="3">
        <v>8</v>
      </c>
      <c r="F480" s="3">
        <v>250</v>
      </c>
      <c r="G480" s="3">
        <v>1041.08</v>
      </c>
      <c r="H480" s="3">
        <v>0</v>
      </c>
      <c r="I480" s="3">
        <v>3223.24</v>
      </c>
    </row>
    <row r="481" spans="1:9">
      <c r="A481" s="3">
        <v>46073</v>
      </c>
      <c r="B481" s="3" t="s">
        <v>314</v>
      </c>
      <c r="C481" s="3">
        <v>3813.98</v>
      </c>
      <c r="D481" s="3">
        <v>80</v>
      </c>
      <c r="E481" s="3">
        <v>8</v>
      </c>
      <c r="F481" s="3">
        <v>0</v>
      </c>
      <c r="G481" s="3">
        <v>714.81</v>
      </c>
      <c r="H481" s="3">
        <v>0</v>
      </c>
      <c r="I481" s="3">
        <v>3099.17</v>
      </c>
    </row>
    <row r="482" spans="1:9">
      <c r="A482" s="3">
        <v>46073</v>
      </c>
      <c r="B482" s="3" t="s">
        <v>317</v>
      </c>
      <c r="C482" s="3">
        <v>3556.1</v>
      </c>
      <c r="D482" s="3">
        <v>80</v>
      </c>
      <c r="E482" s="3">
        <v>0</v>
      </c>
      <c r="F482" s="3">
        <v>0</v>
      </c>
      <c r="G482" s="3">
        <v>665.39</v>
      </c>
      <c r="H482" s="3">
        <v>0</v>
      </c>
      <c r="I482" s="3">
        <v>2890.71</v>
      </c>
    </row>
    <row r="483" spans="1:9">
      <c r="A483" s="3">
        <v>46073</v>
      </c>
      <c r="B483" s="3" t="s">
        <v>319</v>
      </c>
      <c r="C483" s="3">
        <v>3433.56</v>
      </c>
      <c r="D483" s="3">
        <v>80</v>
      </c>
      <c r="E483" s="3">
        <v>2</v>
      </c>
      <c r="F483" s="3">
        <v>0</v>
      </c>
      <c r="G483" s="3">
        <v>738.78</v>
      </c>
      <c r="H483" s="3">
        <v>0</v>
      </c>
      <c r="I483" s="3">
        <v>2694.78</v>
      </c>
    </row>
    <row r="484" spans="1:9">
      <c r="A484" s="3">
        <v>46073</v>
      </c>
      <c r="B484" s="3" t="s">
        <v>321</v>
      </c>
      <c r="C484" s="3">
        <v>3356.08</v>
      </c>
      <c r="D484" s="3">
        <v>80</v>
      </c>
      <c r="E484" s="3">
        <v>0</v>
      </c>
      <c r="F484" s="3">
        <v>0</v>
      </c>
      <c r="G484" s="3">
        <v>824.58</v>
      </c>
      <c r="H484" s="3">
        <v>185</v>
      </c>
      <c r="I484" s="3">
        <v>2346.5</v>
      </c>
    </row>
    <row r="485" spans="1:9">
      <c r="A485" s="3">
        <v>46073</v>
      </c>
      <c r="B485" s="3" t="s">
        <v>323</v>
      </c>
      <c r="C485" s="3">
        <v>4137.22</v>
      </c>
      <c r="D485" s="3">
        <v>80</v>
      </c>
      <c r="E485" s="3">
        <v>2</v>
      </c>
      <c r="F485" s="3">
        <v>0</v>
      </c>
      <c r="G485" s="3">
        <v>1088.98</v>
      </c>
      <c r="H485" s="3">
        <v>310</v>
      </c>
      <c r="I485" s="3">
        <v>2738.24</v>
      </c>
    </row>
    <row r="486" spans="1:9">
      <c r="A486" s="3">
        <v>46073</v>
      </c>
      <c r="B486" s="3" t="s">
        <v>324</v>
      </c>
      <c r="C486" s="3">
        <v>3390.23</v>
      </c>
      <c r="D486" s="3">
        <v>80</v>
      </c>
      <c r="E486" s="3">
        <v>0</v>
      </c>
      <c r="F486" s="3">
        <v>0</v>
      </c>
      <c r="G486" s="3">
        <v>627.03</v>
      </c>
      <c r="H486" s="3">
        <v>0</v>
      </c>
      <c r="I486" s="3">
        <v>2763.2</v>
      </c>
    </row>
    <row r="487" spans="1:9">
      <c r="A487" s="3">
        <v>46073</v>
      </c>
      <c r="B487" s="3" t="s">
        <v>326</v>
      </c>
      <c r="C487" s="3">
        <v>3206.4</v>
      </c>
      <c r="D487" s="3">
        <v>80</v>
      </c>
      <c r="E487" s="3">
        <v>0</v>
      </c>
      <c r="F487" s="3">
        <v>0</v>
      </c>
      <c r="G487" s="3">
        <v>616.75</v>
      </c>
      <c r="H487" s="3">
        <v>310</v>
      </c>
      <c r="I487" s="3">
        <v>2279.65</v>
      </c>
    </row>
    <row r="488" spans="1:9">
      <c r="A488" s="3">
        <v>46073</v>
      </c>
      <c r="B488" s="3" t="s">
        <v>328</v>
      </c>
      <c r="C488" s="3">
        <v>3999.82</v>
      </c>
      <c r="D488" s="3">
        <v>80</v>
      </c>
      <c r="E488" s="3">
        <v>0</v>
      </c>
      <c r="F488" s="3">
        <v>0</v>
      </c>
      <c r="G488" s="3">
        <v>844.78</v>
      </c>
      <c r="H488" s="3">
        <v>185</v>
      </c>
      <c r="I488" s="3">
        <v>2970.04</v>
      </c>
    </row>
    <row r="489" spans="1:9">
      <c r="A489" s="3">
        <v>46073</v>
      </c>
      <c r="B489" s="3" t="s">
        <v>330</v>
      </c>
      <c r="C489" s="3">
        <v>3549.38</v>
      </c>
      <c r="D489" s="3">
        <v>80</v>
      </c>
      <c r="E489" s="3">
        <v>4</v>
      </c>
      <c r="F489" s="3">
        <v>0</v>
      </c>
      <c r="G489" s="3">
        <v>878.4</v>
      </c>
      <c r="H489" s="3">
        <v>0</v>
      </c>
      <c r="I489" s="3">
        <v>2670.98</v>
      </c>
    </row>
    <row r="490" spans="1:9">
      <c r="A490" s="3">
        <v>46073</v>
      </c>
      <c r="B490" s="3" t="s">
        <v>331</v>
      </c>
      <c r="C490" s="3">
        <v>4281.82</v>
      </c>
      <c r="D490" s="3">
        <v>80</v>
      </c>
      <c r="E490" s="3">
        <v>4</v>
      </c>
      <c r="F490" s="3">
        <v>500</v>
      </c>
      <c r="G490" s="3">
        <v>1068.01</v>
      </c>
      <c r="H490" s="3">
        <v>0</v>
      </c>
      <c r="I490" s="3">
        <v>3213.81</v>
      </c>
    </row>
    <row r="491" spans="1:9">
      <c r="A491" s="3">
        <v>46073</v>
      </c>
      <c r="B491" s="3" t="s">
        <v>335</v>
      </c>
      <c r="C491" s="3">
        <v>4246.13</v>
      </c>
      <c r="D491" s="3">
        <v>80</v>
      </c>
      <c r="E491" s="3">
        <v>0</v>
      </c>
      <c r="F491" s="3">
        <v>0</v>
      </c>
      <c r="G491" s="3">
        <v>868.24</v>
      </c>
      <c r="H491" s="3">
        <v>0</v>
      </c>
      <c r="I491" s="3">
        <v>3377.89</v>
      </c>
    </row>
    <row r="492" spans="1:9">
      <c r="A492" s="3">
        <v>46073</v>
      </c>
      <c r="B492" s="3" t="s">
        <v>337</v>
      </c>
      <c r="C492" s="3">
        <v>4472.16</v>
      </c>
      <c r="D492" s="3">
        <v>80</v>
      </c>
      <c r="E492" s="3">
        <v>0</v>
      </c>
      <c r="F492" s="3">
        <v>0</v>
      </c>
      <c r="G492" s="3">
        <v>1037.0899999999999</v>
      </c>
      <c r="H492" s="3">
        <v>310</v>
      </c>
      <c r="I492" s="3">
        <v>3125.07</v>
      </c>
    </row>
    <row r="493" spans="1:9">
      <c r="A493" s="3">
        <v>46073</v>
      </c>
      <c r="B493" s="3" t="s">
        <v>339</v>
      </c>
      <c r="C493" s="3">
        <v>4190.07</v>
      </c>
      <c r="D493" s="3">
        <v>80</v>
      </c>
      <c r="E493" s="3">
        <v>0</v>
      </c>
      <c r="F493" s="3">
        <v>0</v>
      </c>
      <c r="G493" s="3">
        <v>890.02</v>
      </c>
      <c r="H493" s="3">
        <v>0</v>
      </c>
      <c r="I493" s="3">
        <v>3300.05</v>
      </c>
    </row>
    <row r="494" spans="1:9">
      <c r="A494" s="3">
        <v>46073</v>
      </c>
      <c r="B494" s="3" t="s">
        <v>341</v>
      </c>
      <c r="C494" s="3">
        <v>5942.53</v>
      </c>
      <c r="D494" s="3">
        <v>80</v>
      </c>
      <c r="E494" s="3">
        <v>10</v>
      </c>
      <c r="F494" s="3">
        <v>250</v>
      </c>
      <c r="G494" s="3">
        <v>1153.79</v>
      </c>
      <c r="H494" s="3">
        <v>310</v>
      </c>
      <c r="I494" s="3">
        <v>4478.74</v>
      </c>
    </row>
    <row r="495" spans="1:9">
      <c r="A495" s="3">
        <v>46073</v>
      </c>
      <c r="B495" s="3" t="s">
        <v>343</v>
      </c>
      <c r="C495" s="3">
        <v>2989.48</v>
      </c>
      <c r="D495" s="3">
        <v>80</v>
      </c>
      <c r="E495" s="3">
        <v>0</v>
      </c>
      <c r="F495" s="3">
        <v>250</v>
      </c>
      <c r="G495" s="3">
        <v>569.14</v>
      </c>
      <c r="H495" s="3">
        <v>310</v>
      </c>
      <c r="I495" s="3">
        <v>2110.34</v>
      </c>
    </row>
    <row r="496" spans="1:9">
      <c r="A496" s="3">
        <v>46073</v>
      </c>
      <c r="B496" s="3" t="s">
        <v>345</v>
      </c>
      <c r="C496" s="3">
        <v>4594.8500000000004</v>
      </c>
      <c r="D496" s="3">
        <v>80</v>
      </c>
      <c r="E496" s="3">
        <v>0</v>
      </c>
      <c r="F496" s="3">
        <v>0</v>
      </c>
      <c r="G496" s="3">
        <v>832.15</v>
      </c>
      <c r="H496" s="3">
        <v>310</v>
      </c>
      <c r="I496" s="3">
        <v>3452.7</v>
      </c>
    </row>
    <row r="497" spans="1:9">
      <c r="A497" s="3">
        <v>46073</v>
      </c>
      <c r="B497" s="3" t="s">
        <v>348</v>
      </c>
      <c r="C497" s="3">
        <v>4300.8900000000003</v>
      </c>
      <c r="D497" s="3">
        <v>80</v>
      </c>
      <c r="E497" s="3">
        <v>0</v>
      </c>
      <c r="F497" s="3">
        <v>0</v>
      </c>
      <c r="G497" s="3">
        <v>1130.3599999999999</v>
      </c>
      <c r="H497" s="3">
        <v>310</v>
      </c>
      <c r="I497" s="3">
        <v>2860.53</v>
      </c>
    </row>
    <row r="498" spans="1:9">
      <c r="A498" s="3">
        <v>46073</v>
      </c>
      <c r="B498" s="3" t="s">
        <v>350</v>
      </c>
      <c r="C498" s="3">
        <v>4618.0200000000004</v>
      </c>
      <c r="D498" s="3">
        <v>80</v>
      </c>
      <c r="E498" s="3">
        <v>0</v>
      </c>
      <c r="F498" s="3">
        <v>0</v>
      </c>
      <c r="G498" s="3">
        <v>1211.0999999999999</v>
      </c>
      <c r="H498" s="3">
        <v>310</v>
      </c>
      <c r="I498" s="3">
        <v>3096.92</v>
      </c>
    </row>
    <row r="499" spans="1:9">
      <c r="A499" s="3">
        <v>46073</v>
      </c>
      <c r="B499" s="3" t="s">
        <v>352</v>
      </c>
      <c r="C499" s="3">
        <v>3617.98</v>
      </c>
      <c r="D499" s="3">
        <v>80</v>
      </c>
      <c r="E499" s="3">
        <v>8</v>
      </c>
      <c r="F499" s="3">
        <v>0</v>
      </c>
      <c r="G499" s="3">
        <v>786.78</v>
      </c>
      <c r="H499" s="3">
        <v>0</v>
      </c>
      <c r="I499" s="3">
        <v>2831.2</v>
      </c>
    </row>
    <row r="500" spans="1:9">
      <c r="A500" s="3">
        <v>46073</v>
      </c>
      <c r="B500" s="3" t="s">
        <v>354</v>
      </c>
      <c r="C500" s="3">
        <v>4637.43</v>
      </c>
      <c r="D500" s="3">
        <v>80</v>
      </c>
      <c r="E500" s="3">
        <v>6</v>
      </c>
      <c r="F500" s="3">
        <v>0</v>
      </c>
      <c r="G500" s="3">
        <v>1073.28</v>
      </c>
      <c r="H500" s="3">
        <v>185</v>
      </c>
      <c r="I500" s="3">
        <v>3379.15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sqref="A1:XFD1048576"/>
    </sheetView>
  </sheetViews>
  <sheetFormatPr defaultRowHeight="14"/>
  <cols>
    <col min="1" max="1" width="6.6640625" style="3" customWidth="1"/>
    <col min="2" max="2" width="22.58203125" style="3" customWidth="1"/>
    <col min="3" max="3" width="61.6640625" style="3" customWidth="1"/>
    <col min="4" max="4" width="36.25" style="3" customWidth="1"/>
    <col min="5" max="5" width="31.58203125" style="3" customWidth="1"/>
    <col min="6" max="16384" width="8.6640625" style="3"/>
  </cols>
  <sheetData>
    <row r="1" spans="1:5">
      <c r="A1" s="1" t="s">
        <v>371</v>
      </c>
      <c r="B1" s="1" t="s">
        <v>372</v>
      </c>
      <c r="C1" s="1" t="s">
        <v>373</v>
      </c>
      <c r="D1" s="1" t="s">
        <v>374</v>
      </c>
      <c r="E1" s="1" t="s">
        <v>375</v>
      </c>
    </row>
    <row r="2" spans="1:5">
      <c r="A2" s="3" t="s">
        <v>376</v>
      </c>
      <c r="B2" s="3" t="s">
        <v>224</v>
      </c>
      <c r="C2" s="3" t="s">
        <v>377</v>
      </c>
      <c r="D2" s="3" t="s">
        <v>378</v>
      </c>
      <c r="E2" s="3" t="s">
        <v>379</v>
      </c>
    </row>
    <row r="3" spans="1:5">
      <c r="A3" s="3" t="s">
        <v>380</v>
      </c>
      <c r="B3" s="3" t="s">
        <v>381</v>
      </c>
      <c r="C3" s="3" t="s">
        <v>382</v>
      </c>
      <c r="D3" s="3" t="s">
        <v>383</v>
      </c>
      <c r="E3" s="3" t="s">
        <v>384</v>
      </c>
    </row>
    <row r="4" spans="1:5">
      <c r="A4" s="3" t="s">
        <v>385</v>
      </c>
      <c r="B4" s="3" t="s">
        <v>85</v>
      </c>
      <c r="C4" s="3" t="s">
        <v>386</v>
      </c>
      <c r="D4" s="3" t="s">
        <v>387</v>
      </c>
      <c r="E4" s="3" t="s">
        <v>388</v>
      </c>
    </row>
    <row r="5" spans="1:5">
      <c r="A5" s="3" t="s">
        <v>389</v>
      </c>
      <c r="B5" s="3" t="s">
        <v>390</v>
      </c>
      <c r="C5" s="3" t="s">
        <v>391</v>
      </c>
      <c r="D5" s="3" t="s">
        <v>392</v>
      </c>
      <c r="E5" s="3" t="s">
        <v>393</v>
      </c>
    </row>
    <row r="6" spans="1:5">
      <c r="A6" s="3" t="s">
        <v>394</v>
      </c>
      <c r="B6" s="3" t="s">
        <v>141</v>
      </c>
      <c r="C6" s="3" t="s">
        <v>395</v>
      </c>
      <c r="D6" s="3" t="s">
        <v>396</v>
      </c>
      <c r="E6" s="3" t="s">
        <v>397</v>
      </c>
    </row>
    <row r="7" spans="1:5">
      <c r="A7" s="3" t="s">
        <v>398</v>
      </c>
      <c r="B7" s="3" t="s">
        <v>57</v>
      </c>
      <c r="C7" s="3" t="s">
        <v>399</v>
      </c>
      <c r="D7" s="3" t="s">
        <v>400</v>
      </c>
      <c r="E7" s="3" t="s">
        <v>401</v>
      </c>
    </row>
    <row r="8" spans="1:5">
      <c r="A8" s="3" t="s">
        <v>402</v>
      </c>
      <c r="B8" s="3" t="s">
        <v>403</v>
      </c>
      <c r="C8" s="3" t="s">
        <v>404</v>
      </c>
      <c r="D8" s="3" t="s">
        <v>405</v>
      </c>
      <c r="E8" s="3" t="s">
        <v>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sqref="A1:XFD1048576"/>
    </sheetView>
  </sheetViews>
  <sheetFormatPr defaultRowHeight="14"/>
  <cols>
    <col min="1" max="2" width="14.58203125" style="3" customWidth="1"/>
    <col min="3" max="3" width="48.83203125" style="3" customWidth="1"/>
    <col min="4" max="16384" width="8.6640625" style="3"/>
  </cols>
  <sheetData>
    <row r="1" spans="1:3">
      <c r="A1" s="1" t="s">
        <v>407</v>
      </c>
      <c r="B1" s="1" t="s">
        <v>408</v>
      </c>
      <c r="C1" s="1" t="s">
        <v>409</v>
      </c>
    </row>
    <row r="2" spans="1:3">
      <c r="A2" s="3" t="s">
        <v>410</v>
      </c>
      <c r="B2" s="3" t="s">
        <v>46</v>
      </c>
      <c r="C2" s="3" t="s">
        <v>411</v>
      </c>
    </row>
    <row r="3" spans="1:3">
      <c r="A3" s="3" t="s">
        <v>410</v>
      </c>
      <c r="B3" s="3" t="s">
        <v>47</v>
      </c>
      <c r="C3" s="3" t="s">
        <v>412</v>
      </c>
    </row>
    <row r="4" spans="1:3">
      <c r="A4" s="3" t="s">
        <v>410</v>
      </c>
      <c r="B4" s="3" t="s">
        <v>48</v>
      </c>
      <c r="C4" s="3" t="s">
        <v>413</v>
      </c>
    </row>
    <row r="5" spans="1:3">
      <c r="A5" s="3" t="s">
        <v>410</v>
      </c>
      <c r="B5" s="3" t="s">
        <v>45</v>
      </c>
      <c r="C5" s="3" t="s">
        <v>414</v>
      </c>
    </row>
    <row r="6" spans="1:3">
      <c r="A6" s="3" t="s">
        <v>415</v>
      </c>
      <c r="B6" s="3" t="s">
        <v>35</v>
      </c>
      <c r="C6" s="3" t="s">
        <v>416</v>
      </c>
    </row>
    <row r="7" spans="1:3">
      <c r="A7" s="3" t="s">
        <v>417</v>
      </c>
      <c r="B7" s="3" t="s">
        <v>40</v>
      </c>
      <c r="C7" s="3" t="s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>
      <selection sqref="A1:XFD1048576"/>
    </sheetView>
  </sheetViews>
  <sheetFormatPr defaultRowHeight="14"/>
  <cols>
    <col min="1" max="1" width="25.25" style="3" customWidth="1"/>
    <col min="2" max="2" width="10.58203125" style="3" customWidth="1"/>
    <col min="3" max="3" width="68" style="3" customWidth="1"/>
    <col min="4" max="16384" width="8.6640625" style="3"/>
  </cols>
  <sheetData>
    <row r="1" spans="1:3">
      <c r="A1" s="1" t="s">
        <v>419</v>
      </c>
      <c r="B1" s="1" t="s">
        <v>420</v>
      </c>
      <c r="C1" s="1" t="s">
        <v>421</v>
      </c>
    </row>
    <row r="2" spans="1:3">
      <c r="A2" s="3" t="s">
        <v>422</v>
      </c>
      <c r="B2" s="4">
        <v>509070.11</v>
      </c>
      <c r="C2" s="3" t="s">
        <v>423</v>
      </c>
    </row>
    <row r="3" spans="1:3">
      <c r="A3" s="3" t="s">
        <v>424</v>
      </c>
      <c r="B3" s="4">
        <v>85</v>
      </c>
      <c r="C3" s="3" t="s">
        <v>425</v>
      </c>
    </row>
    <row r="4" spans="1:3">
      <c r="A4" s="3" t="s">
        <v>426</v>
      </c>
      <c r="B4" s="4">
        <v>354493.92</v>
      </c>
      <c r="C4" s="3" t="s">
        <v>427</v>
      </c>
    </row>
    <row r="5" spans="1:3">
      <c r="A5" s="3" t="s">
        <v>428</v>
      </c>
      <c r="B5" s="5">
        <v>0.67460317460317465</v>
      </c>
      <c r="C5" s="3" t="s">
        <v>429</v>
      </c>
    </row>
    <row r="6" spans="1:3">
      <c r="A6" s="3" t="s">
        <v>430</v>
      </c>
      <c r="B6" s="3">
        <v>11</v>
      </c>
      <c r="C6" s="3" t="s">
        <v>431</v>
      </c>
    </row>
    <row r="7" spans="1:3">
      <c r="A7" s="3" t="s">
        <v>432</v>
      </c>
      <c r="B7" s="3">
        <v>4</v>
      </c>
      <c r="C7" s="3" t="s">
        <v>433</v>
      </c>
    </row>
    <row r="8" spans="1:3">
      <c r="A8" s="3" t="s">
        <v>434</v>
      </c>
      <c r="B8" s="3">
        <v>9</v>
      </c>
      <c r="C8" s="3" t="s">
        <v>435</v>
      </c>
    </row>
    <row r="9" spans="1:3">
      <c r="A9" s="3" t="s">
        <v>436</v>
      </c>
      <c r="B9" s="3">
        <v>2</v>
      </c>
      <c r="C9" s="3" t="s">
        <v>437</v>
      </c>
    </row>
    <row r="10" spans="1:3">
      <c r="A10" s="3" t="s">
        <v>438</v>
      </c>
      <c r="B10" s="3">
        <v>3</v>
      </c>
      <c r="C10" s="3" t="s">
        <v>439</v>
      </c>
    </row>
    <row r="11" spans="1:3">
      <c r="A11" s="3" t="s">
        <v>440</v>
      </c>
      <c r="B11" s="3">
        <v>74</v>
      </c>
      <c r="C11" s="3" t="s">
        <v>441</v>
      </c>
    </row>
    <row r="12" spans="1:3">
      <c r="A12" s="3" t="s">
        <v>442</v>
      </c>
      <c r="B12" s="3">
        <v>1</v>
      </c>
      <c r="C12" s="3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Payroll_Current</vt:lpstr>
      <vt:lpstr>Pivot 1</vt:lpstr>
      <vt:lpstr>Pivot 2</vt:lpstr>
      <vt:lpstr>Pivot 3</vt:lpstr>
      <vt:lpstr>HR_Master</vt:lpstr>
      <vt:lpstr>Historical_Payroll</vt:lpstr>
      <vt:lpstr>Anomaly_Rules</vt:lpstr>
      <vt:lpstr>Data_Dictionary</vt:lpstr>
      <vt:lpstr>Excel_Summary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Ikwani, Esther (EHS)</cp:lastModifiedBy>
  <dcterms:created xsi:type="dcterms:W3CDTF">2026-04-27T22:12:38Z</dcterms:created>
  <dcterms:modified xsi:type="dcterms:W3CDTF">2026-04-27T23:23:59Z</dcterms:modified>
</cp:coreProperties>
</file>